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53222"/>
  <mc:AlternateContent xmlns:mc="http://schemas.openxmlformats.org/markup-compatibility/2006">
    <mc:Choice Requires="x15">
      <x15ac:absPath xmlns:x15ac="http://schemas.microsoft.com/office/spreadsheetml/2010/11/ac" url="S:\EHI\Analytics\FY2014\Survey\"/>
    </mc:Choice>
  </mc:AlternateContent>
  <bookViews>
    <workbookView showHorizontalScroll="0" xWindow="0" yWindow="0" windowWidth="28800" windowHeight="13020"/>
  </bookViews>
  <sheets>
    <sheet name="Characteristics FY2014" sheetId="1" r:id="rId1"/>
    <sheet name="Data Sharing Agreement" sheetId="4" r:id="rId2"/>
    <sheet name="Drop Downs" sheetId="3" state="hidden" r:id="rId3"/>
    <sheet name="Stored Values" sheetId="2" state="hidden" r:id="rId4"/>
  </sheets>
  <definedNames>
    <definedName name="CCN_Lookup">'Drop Downs'!$Y$3:$Y$350</definedName>
    <definedName name="Days">'Drop Downs'!$E$3:$E$33</definedName>
    <definedName name="FQHC">'Drop Downs'!$A$1:$B$4</definedName>
    <definedName name="HDRELT_0">'Drop Downs'!$A$2:$A$4</definedName>
    <definedName name="Hosp_Lookup">'Drop Downs'!$Z$3:$Z$350</definedName>
    <definedName name="Months">'Drop Downs'!$C$3:$C$14</definedName>
    <definedName name="Org_Lookup">'Drop Downs'!$Q$3:$Q$352</definedName>
    <definedName name="Org_Select">'Drop Downs'!$R$3</definedName>
    <definedName name="_xlnm.Print_Area" localSheetId="0">'Characteristics FY2014'!$B$1:$J$458</definedName>
    <definedName name="_xlnm.Print_Area" localSheetId="1">'Data Sharing Agreement'!$A$1:$K$40</definedName>
    <definedName name="State">'Drop Downs'!$I$3:$I$53</definedName>
    <definedName name="State_Select">'Drop Downs'!$K$3</definedName>
    <definedName name="Year">'Drop Downs'!$G$3:$G$5</definedName>
    <definedName name="YNU">'Drop Downs'!$B$2:$B$4</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47" i="1" l="1"/>
  <c r="I262" i="1"/>
  <c r="H363" i="1"/>
  <c r="F363" i="1"/>
  <c r="I317" i="1"/>
  <c r="J307" i="1"/>
  <c r="I285" i="1"/>
  <c r="I184" i="1"/>
  <c r="I190" i="1"/>
  <c r="J147" i="1"/>
  <c r="F147" i="1"/>
  <c r="B8" i="2"/>
  <c r="B171" i="2" l="1"/>
  <c r="C171" i="2" s="1"/>
  <c r="B170" i="2"/>
  <c r="C170" i="2" s="1"/>
  <c r="B169" i="2"/>
  <c r="C169" i="2" s="1"/>
  <c r="B168" i="2"/>
  <c r="C168" i="2" s="1"/>
  <c r="B167" i="2"/>
  <c r="C167" i="2" s="1"/>
  <c r="B166" i="2"/>
  <c r="C166" i="2" s="1"/>
  <c r="B164" i="2"/>
  <c r="C164" i="2" s="1"/>
  <c r="B163" i="2"/>
  <c r="C163" i="2" s="1"/>
  <c r="B162" i="2"/>
  <c r="C162" i="2" s="1"/>
  <c r="B161" i="2"/>
  <c r="C161" i="2" s="1"/>
  <c r="B160" i="2"/>
  <c r="C160" i="2" s="1"/>
  <c r="B159" i="2"/>
  <c r="C159" i="2" s="1"/>
  <c r="B158" i="2"/>
  <c r="C158" i="2" s="1"/>
  <c r="B156" i="2"/>
  <c r="C156" i="2" s="1"/>
  <c r="B155" i="2"/>
  <c r="C155" i="2" s="1"/>
  <c r="B154" i="2"/>
  <c r="C154" i="2" s="1"/>
  <c r="B152" i="2"/>
  <c r="C152" i="2" s="1"/>
  <c r="B151" i="2"/>
  <c r="C151" i="2" s="1"/>
  <c r="B150" i="2"/>
  <c r="C150" i="2" s="1"/>
  <c r="B149" i="2"/>
  <c r="C149" i="2" s="1"/>
  <c r="B148" i="2"/>
  <c r="C148" i="2" s="1"/>
  <c r="B147" i="2"/>
  <c r="C147" i="2" s="1"/>
  <c r="C146" i="2"/>
  <c r="C145" i="2"/>
  <c r="C144" i="2"/>
  <c r="B142" i="2"/>
  <c r="C142" i="2" s="1"/>
  <c r="B141" i="2"/>
  <c r="C141" i="2" s="1"/>
  <c r="B139" i="2"/>
  <c r="C139" i="2" s="1"/>
  <c r="B138" i="2"/>
  <c r="C138" i="2" s="1"/>
  <c r="B136" i="2"/>
  <c r="C136" i="2" s="1"/>
  <c r="B135" i="2"/>
  <c r="C135" i="2" s="1"/>
  <c r="B133" i="2"/>
  <c r="C133" i="2" s="1"/>
  <c r="B132" i="2"/>
  <c r="C132" i="2" s="1"/>
  <c r="B130" i="2"/>
  <c r="C130" i="2" s="1"/>
  <c r="B129" i="2"/>
  <c r="C129" i="2" s="1"/>
  <c r="B127" i="2"/>
  <c r="C127" i="2" s="1"/>
  <c r="B126" i="2"/>
  <c r="C126" i="2" s="1"/>
  <c r="B124" i="2"/>
  <c r="C124" i="2" s="1"/>
  <c r="B123" i="2"/>
  <c r="C123" i="2" s="1"/>
  <c r="B121" i="2"/>
  <c r="C121" i="2" s="1"/>
  <c r="B120" i="2"/>
  <c r="C120" i="2" s="1"/>
  <c r="B119" i="2"/>
  <c r="C119" i="2" s="1"/>
  <c r="B118" i="2"/>
  <c r="B117" i="2"/>
  <c r="C117" i="2" s="1"/>
  <c r="B116" i="2"/>
  <c r="C116" i="2" s="1"/>
  <c r="B115" i="2"/>
  <c r="C115" i="2" s="1"/>
  <c r="B114" i="2"/>
  <c r="C114" i="2" s="1"/>
  <c r="B113" i="2"/>
  <c r="C113" i="2" s="1"/>
  <c r="B112" i="2"/>
  <c r="C112" i="2" s="1"/>
  <c r="B111" i="2"/>
  <c r="C111" i="2" s="1"/>
  <c r="B110" i="2"/>
  <c r="C110" i="2" s="1"/>
  <c r="B109" i="2"/>
  <c r="C109" i="2" s="1"/>
  <c r="B108" i="2"/>
  <c r="C108" i="2" s="1"/>
  <c r="B107" i="2"/>
  <c r="C107" i="2" s="1"/>
  <c r="C106" i="2"/>
  <c r="B105" i="2"/>
  <c r="C105" i="2" s="1"/>
  <c r="B104" i="2"/>
  <c r="C104" i="2" s="1"/>
  <c r="B103" i="2"/>
  <c r="C103" i="2" s="1"/>
  <c r="B102" i="2"/>
  <c r="C102" i="2" s="1"/>
  <c r="B101" i="2"/>
  <c r="C101" i="2" s="1"/>
  <c r="B100" i="2"/>
  <c r="C100" i="2" s="1"/>
  <c r="B99" i="2"/>
  <c r="C99" i="2" s="1"/>
  <c r="B98" i="2"/>
  <c r="C98" i="2" s="1"/>
  <c r="B97" i="2"/>
  <c r="C97" i="2" s="1"/>
  <c r="B96" i="2"/>
  <c r="C96" i="2" s="1"/>
  <c r="B95" i="2"/>
  <c r="C95" i="2" s="1"/>
  <c r="B94" i="2"/>
  <c r="C94" i="2" s="1"/>
  <c r="B93" i="2"/>
  <c r="C93" i="2" s="1"/>
  <c r="B92" i="2"/>
  <c r="C92" i="2" s="1"/>
  <c r="B91" i="2"/>
  <c r="C91" i="2" s="1"/>
  <c r="B90" i="2"/>
  <c r="C90" i="2" s="1"/>
  <c r="B88" i="2"/>
  <c r="C88" i="2" s="1"/>
  <c r="B87" i="2"/>
  <c r="C87" i="2" s="1"/>
  <c r="C86" i="2"/>
  <c r="B85" i="2"/>
  <c r="C85" i="2" s="1"/>
  <c r="B84" i="2"/>
  <c r="C84" i="2" s="1"/>
  <c r="B83" i="2"/>
  <c r="C83" i="2" s="1"/>
  <c r="B82" i="2"/>
  <c r="C82" i="2" s="1"/>
  <c r="B80" i="2"/>
  <c r="C80" i="2" s="1"/>
  <c r="B79" i="2"/>
  <c r="C79" i="2" s="1"/>
  <c r="B78" i="2"/>
  <c r="C78" i="2" s="1"/>
  <c r="B77" i="2"/>
  <c r="C77" i="2" s="1"/>
  <c r="B76" i="2"/>
  <c r="C76" i="2" s="1"/>
  <c r="B75" i="2"/>
  <c r="C75" i="2" s="1"/>
  <c r="B74" i="2"/>
  <c r="C74" i="2" s="1"/>
  <c r="B72" i="2"/>
  <c r="C72" i="2" s="1"/>
  <c r="B71" i="2"/>
  <c r="C71" i="2" s="1"/>
  <c r="B70" i="2"/>
  <c r="C70" i="2" s="1"/>
  <c r="B69" i="2"/>
  <c r="C69" i="2" s="1"/>
  <c r="B68" i="2"/>
  <c r="B67" i="2"/>
  <c r="B66" i="2"/>
  <c r="B65" i="2"/>
  <c r="B64" i="2"/>
  <c r="C64" i="2" s="1"/>
  <c r="B63" i="2"/>
  <c r="C63" i="2" s="1"/>
  <c r="B62" i="2"/>
  <c r="C62" i="2" s="1"/>
  <c r="B61" i="2"/>
  <c r="C61" i="2" s="1"/>
  <c r="B60" i="2"/>
  <c r="C60" i="2" s="1"/>
  <c r="B59" i="2"/>
  <c r="C59" i="2" s="1"/>
  <c r="B58" i="2"/>
  <c r="C58" i="2" s="1"/>
  <c r="B57" i="2"/>
  <c r="C57" i="2" s="1"/>
  <c r="B56" i="2"/>
  <c r="C56" i="2" s="1"/>
  <c r="B55" i="2"/>
  <c r="C55" i="2" s="1"/>
  <c r="B54" i="2"/>
  <c r="C54" i="2" s="1"/>
  <c r="B53" i="2"/>
  <c r="C53" i="2" s="1"/>
  <c r="B52" i="2"/>
  <c r="C52" i="2" s="1"/>
  <c r="B51" i="2"/>
  <c r="C51" i="2" s="1"/>
  <c r="B50" i="2"/>
  <c r="C50" i="2" s="1"/>
  <c r="B49" i="2"/>
  <c r="C49" i="2" s="1"/>
  <c r="B48" i="2"/>
  <c r="C48" i="2" s="1"/>
  <c r="B47" i="2"/>
  <c r="C47" i="2" s="1"/>
  <c r="B46" i="2"/>
  <c r="C46" i="2" s="1"/>
  <c r="B45" i="2"/>
  <c r="C45" i="2" s="1"/>
  <c r="B44" i="2"/>
  <c r="C44" i="2" s="1"/>
  <c r="B43" i="2"/>
  <c r="C43" i="2" s="1"/>
  <c r="B42" i="2"/>
  <c r="C42" i="2" s="1"/>
  <c r="B41" i="2"/>
  <c r="C41" i="2" s="1"/>
  <c r="B40" i="2"/>
  <c r="C40" i="2" s="1"/>
  <c r="B39" i="2"/>
  <c r="C39" i="2" s="1"/>
  <c r="B38" i="2"/>
  <c r="C38" i="2" s="1"/>
  <c r="B37" i="2"/>
  <c r="C37" i="2" s="1"/>
  <c r="B36" i="2"/>
  <c r="B33" i="2"/>
  <c r="C33" i="2" s="1"/>
  <c r="B32" i="2"/>
  <c r="C32" i="2" s="1"/>
  <c r="B31" i="2"/>
  <c r="C31" i="2" s="1"/>
  <c r="B30" i="2"/>
  <c r="C30" i="2" s="1"/>
  <c r="B29" i="2"/>
  <c r="C29" i="2" s="1"/>
  <c r="B28" i="2"/>
  <c r="C28" i="2" s="1"/>
  <c r="B27" i="2"/>
  <c r="C27" i="2" s="1"/>
  <c r="B26" i="2"/>
  <c r="C26" i="2" s="1"/>
  <c r="B25" i="2"/>
  <c r="C25" i="2" s="1"/>
  <c r="B24" i="2"/>
  <c r="C24" i="2" s="1"/>
  <c r="B23" i="2"/>
  <c r="C23" i="2" s="1"/>
  <c r="B22" i="2"/>
  <c r="C22" i="2" s="1"/>
  <c r="B21" i="2"/>
  <c r="C21" i="2" s="1"/>
  <c r="B20" i="2"/>
  <c r="C20" i="2" s="1"/>
  <c r="B19" i="2"/>
  <c r="C19" i="2" s="1"/>
  <c r="B18" i="2"/>
  <c r="B17" i="2"/>
  <c r="B15" i="2"/>
  <c r="B14" i="2"/>
  <c r="B13" i="2"/>
  <c r="C12" i="2"/>
  <c r="C11" i="2"/>
  <c r="C10" i="2"/>
  <c r="C9" i="2"/>
  <c r="B7" i="2"/>
  <c r="C7" i="2" s="1"/>
  <c r="B6" i="2"/>
  <c r="C6" i="2" s="1"/>
  <c r="B5" i="2"/>
  <c r="C5" i="2" s="1"/>
  <c r="B4" i="2"/>
  <c r="C4" i="2" s="1"/>
  <c r="B3" i="2"/>
  <c r="C3" i="2" s="1"/>
  <c r="B2" i="2"/>
  <c r="C2" i="2" s="1"/>
  <c r="B1" i="2"/>
  <c r="C1" i="2" s="1"/>
  <c r="W352" i="3"/>
  <c r="W351" i="3"/>
  <c r="W350" i="3"/>
  <c r="W349" i="3"/>
  <c r="W348" i="3"/>
  <c r="W347" i="3"/>
  <c r="W346" i="3"/>
  <c r="W345" i="3"/>
  <c r="W344" i="3"/>
  <c r="W343" i="3"/>
  <c r="W342" i="3"/>
  <c r="W341" i="3"/>
  <c r="W340" i="3"/>
  <c r="W339" i="3"/>
  <c r="W338" i="3"/>
  <c r="W337" i="3"/>
  <c r="W336" i="3"/>
  <c r="W335" i="3"/>
  <c r="W334" i="3"/>
  <c r="W333" i="3"/>
  <c r="W332" i="3"/>
  <c r="W331" i="3"/>
  <c r="W330" i="3"/>
  <c r="W329" i="3"/>
  <c r="W328" i="3"/>
  <c r="W327" i="3"/>
  <c r="W326" i="3"/>
  <c r="W325" i="3"/>
  <c r="W324" i="3"/>
  <c r="W323" i="3"/>
  <c r="W322" i="3"/>
  <c r="W321" i="3"/>
  <c r="W320" i="3"/>
  <c r="W319" i="3"/>
  <c r="W318" i="3"/>
  <c r="W317" i="3"/>
  <c r="W316" i="3"/>
  <c r="W315" i="3"/>
  <c r="W314" i="3"/>
  <c r="W313" i="3"/>
  <c r="W312" i="3"/>
  <c r="W311" i="3"/>
  <c r="W310" i="3"/>
  <c r="W309" i="3"/>
  <c r="W308" i="3"/>
  <c r="W307" i="3"/>
  <c r="W306" i="3"/>
  <c r="W305" i="3"/>
  <c r="W304" i="3"/>
  <c r="W303" i="3"/>
  <c r="W302" i="3"/>
  <c r="W301" i="3"/>
  <c r="W300" i="3"/>
  <c r="W299" i="3"/>
  <c r="W298" i="3"/>
  <c r="W297" i="3"/>
  <c r="W296" i="3"/>
  <c r="W295" i="3"/>
  <c r="W294" i="3"/>
  <c r="W293" i="3"/>
  <c r="W292" i="3"/>
  <c r="W291" i="3"/>
  <c r="W290" i="3"/>
  <c r="W289" i="3"/>
  <c r="W288" i="3"/>
  <c r="W287" i="3"/>
  <c r="W286" i="3"/>
  <c r="W285" i="3"/>
  <c r="W284" i="3"/>
  <c r="W283" i="3"/>
  <c r="W282" i="3"/>
  <c r="W281" i="3"/>
  <c r="W280" i="3"/>
  <c r="W279" i="3"/>
  <c r="W278" i="3"/>
  <c r="W277" i="3"/>
  <c r="W276" i="3"/>
  <c r="W275" i="3"/>
  <c r="W274" i="3"/>
  <c r="W273" i="3"/>
  <c r="W272" i="3"/>
  <c r="W271" i="3"/>
  <c r="W270" i="3"/>
  <c r="W269" i="3"/>
  <c r="W268" i="3"/>
  <c r="W267" i="3"/>
  <c r="W266" i="3"/>
  <c r="W265" i="3"/>
  <c r="W264" i="3"/>
  <c r="W263" i="3"/>
  <c r="W262" i="3"/>
  <c r="W261" i="3"/>
  <c r="W260" i="3"/>
  <c r="W259" i="3"/>
  <c r="W258" i="3"/>
  <c r="W257" i="3"/>
  <c r="W256" i="3"/>
  <c r="W255" i="3"/>
  <c r="W254" i="3"/>
  <c r="W253" i="3"/>
  <c r="W252" i="3"/>
  <c r="W251" i="3"/>
  <c r="W250" i="3"/>
  <c r="W249" i="3"/>
  <c r="W248" i="3"/>
  <c r="W247" i="3"/>
  <c r="W246" i="3"/>
  <c r="W245" i="3"/>
  <c r="W244" i="3"/>
  <c r="W243" i="3"/>
  <c r="W242" i="3"/>
  <c r="W241" i="3"/>
  <c r="W240" i="3"/>
  <c r="W239" i="3"/>
  <c r="W238" i="3"/>
  <c r="W237" i="3"/>
  <c r="W236" i="3"/>
  <c r="W235" i="3"/>
  <c r="W234" i="3"/>
  <c r="W233" i="3"/>
  <c r="W232" i="3"/>
  <c r="W231" i="3"/>
  <c r="W230" i="3"/>
  <c r="W229" i="3"/>
  <c r="W228" i="3"/>
  <c r="W227" i="3"/>
  <c r="W226" i="3"/>
  <c r="W225" i="3"/>
  <c r="W224" i="3"/>
  <c r="W223" i="3"/>
  <c r="W222" i="3"/>
  <c r="W221" i="3"/>
  <c r="W220" i="3"/>
  <c r="W219" i="3"/>
  <c r="W218" i="3"/>
  <c r="W217" i="3"/>
  <c r="W216" i="3"/>
  <c r="W215" i="3"/>
  <c r="W214" i="3"/>
  <c r="W213" i="3"/>
  <c r="W212" i="3"/>
  <c r="W211" i="3"/>
  <c r="W210" i="3"/>
  <c r="W209" i="3"/>
  <c r="W208" i="3"/>
  <c r="W207" i="3"/>
  <c r="W206" i="3"/>
  <c r="W205" i="3"/>
  <c r="W204" i="3"/>
  <c r="W203" i="3"/>
  <c r="W202" i="3"/>
  <c r="W201" i="3"/>
  <c r="W200" i="3"/>
  <c r="W199" i="3"/>
  <c r="W198" i="3"/>
  <c r="W197" i="3"/>
  <c r="W196" i="3"/>
  <c r="W195" i="3"/>
  <c r="W194" i="3"/>
  <c r="W193" i="3"/>
  <c r="W192" i="3"/>
  <c r="W191" i="3"/>
  <c r="W190" i="3"/>
  <c r="W189" i="3"/>
  <c r="W188" i="3"/>
  <c r="W187" i="3"/>
  <c r="W186" i="3"/>
  <c r="W185" i="3"/>
  <c r="W184" i="3"/>
  <c r="W183" i="3"/>
  <c r="W182" i="3"/>
  <c r="W181" i="3"/>
  <c r="W180" i="3"/>
  <c r="W179" i="3"/>
  <c r="W178" i="3"/>
  <c r="W177" i="3"/>
  <c r="W176" i="3"/>
  <c r="W175" i="3"/>
  <c r="W174" i="3"/>
  <c r="W173" i="3"/>
  <c r="W172" i="3"/>
  <c r="W171" i="3"/>
  <c r="W170" i="3"/>
  <c r="W169" i="3"/>
  <c r="W168" i="3"/>
  <c r="W167" i="3"/>
  <c r="W166" i="3"/>
  <c r="W165" i="3"/>
  <c r="W164" i="3"/>
  <c r="W163" i="3"/>
  <c r="W162" i="3"/>
  <c r="W161" i="3"/>
  <c r="W160" i="3"/>
  <c r="W159" i="3"/>
  <c r="W158" i="3"/>
  <c r="W157" i="3"/>
  <c r="W156" i="3"/>
  <c r="W155" i="3"/>
  <c r="W154" i="3"/>
  <c r="W153" i="3"/>
  <c r="W152" i="3"/>
  <c r="W151" i="3"/>
  <c r="W150" i="3"/>
  <c r="W149" i="3"/>
  <c r="W148" i="3"/>
  <c r="W147" i="3"/>
  <c r="W146" i="3"/>
  <c r="W145" i="3"/>
  <c r="W144" i="3"/>
  <c r="W143" i="3"/>
  <c r="W142" i="3"/>
  <c r="W141" i="3"/>
  <c r="W140" i="3"/>
  <c r="W139" i="3"/>
  <c r="W138" i="3"/>
  <c r="W137" i="3"/>
  <c r="W136" i="3"/>
  <c r="W135" i="3"/>
  <c r="W134" i="3"/>
  <c r="W133" i="3"/>
  <c r="W132" i="3"/>
  <c r="W131" i="3"/>
  <c r="W130" i="3"/>
  <c r="W129" i="3"/>
  <c r="W128" i="3"/>
  <c r="W127" i="3"/>
  <c r="W126" i="3"/>
  <c r="W125" i="3"/>
  <c r="W124" i="3"/>
  <c r="W123" i="3"/>
  <c r="W122" i="3"/>
  <c r="W121" i="3"/>
  <c r="W120" i="3"/>
  <c r="W119" i="3"/>
  <c r="W118" i="3"/>
  <c r="W117" i="3"/>
  <c r="W116" i="3"/>
  <c r="W115" i="3"/>
  <c r="W114" i="3"/>
  <c r="W113" i="3"/>
  <c r="W112" i="3"/>
  <c r="W111" i="3"/>
  <c r="W110" i="3"/>
  <c r="W109" i="3"/>
  <c r="W108" i="3"/>
  <c r="W107" i="3"/>
  <c r="W106" i="3"/>
  <c r="W105" i="3"/>
  <c r="W104" i="3"/>
  <c r="W103" i="3"/>
  <c r="W102" i="3"/>
  <c r="W101" i="3"/>
  <c r="W100" i="3"/>
  <c r="W99" i="3"/>
  <c r="W98" i="3"/>
  <c r="W97" i="3"/>
  <c r="W96" i="3"/>
  <c r="W95" i="3"/>
  <c r="W94" i="3"/>
  <c r="W93" i="3"/>
  <c r="W92" i="3"/>
  <c r="W91" i="3"/>
  <c r="W90" i="3"/>
  <c r="W89" i="3"/>
  <c r="W88" i="3"/>
  <c r="W87" i="3"/>
  <c r="W86" i="3"/>
  <c r="W85" i="3"/>
  <c r="W84" i="3"/>
  <c r="W83" i="3"/>
  <c r="W82" i="3"/>
  <c r="W81" i="3"/>
  <c r="W80" i="3"/>
  <c r="W79" i="3"/>
  <c r="W78" i="3"/>
  <c r="W77" i="3"/>
  <c r="W76" i="3"/>
  <c r="W75" i="3"/>
  <c r="W74" i="3"/>
  <c r="W73" i="3"/>
  <c r="W72" i="3"/>
  <c r="W71" i="3"/>
  <c r="W70" i="3"/>
  <c r="W69" i="3"/>
  <c r="W68" i="3"/>
  <c r="W67" i="3"/>
  <c r="W66" i="3"/>
  <c r="W65" i="3"/>
  <c r="W64" i="3"/>
  <c r="W63" i="3"/>
  <c r="W62" i="3"/>
  <c r="W61" i="3"/>
  <c r="W60" i="3"/>
  <c r="W59" i="3"/>
  <c r="W58" i="3"/>
  <c r="W57" i="3"/>
  <c r="W56" i="3"/>
  <c r="W55" i="3"/>
  <c r="W54" i="3"/>
  <c r="W53" i="3"/>
  <c r="W52" i="3"/>
  <c r="W51" i="3"/>
  <c r="W50" i="3"/>
  <c r="W49" i="3"/>
  <c r="W48" i="3"/>
  <c r="W47" i="3"/>
  <c r="W46" i="3"/>
  <c r="W45" i="3"/>
  <c r="W44" i="3"/>
  <c r="W43" i="3"/>
  <c r="W42" i="3"/>
  <c r="W41" i="3"/>
  <c r="W40" i="3"/>
  <c r="W39" i="3"/>
  <c r="W38" i="3"/>
  <c r="W37" i="3"/>
  <c r="W36" i="3"/>
  <c r="W35" i="3"/>
  <c r="W34" i="3"/>
  <c r="W33" i="3"/>
  <c r="W32" i="3"/>
  <c r="W31" i="3"/>
  <c r="W30" i="3"/>
  <c r="W29" i="3"/>
  <c r="W28" i="3"/>
  <c r="W27" i="3"/>
  <c r="W26" i="3"/>
  <c r="W25" i="3"/>
  <c r="W24" i="3"/>
  <c r="W23" i="3"/>
  <c r="W22" i="3"/>
  <c r="W21" i="3"/>
  <c r="W20" i="3"/>
  <c r="W19" i="3"/>
  <c r="W18" i="3"/>
  <c r="W17" i="3"/>
  <c r="W16" i="3"/>
  <c r="W15" i="3"/>
  <c r="W14" i="3"/>
  <c r="W13" i="3"/>
  <c r="W12" i="3"/>
  <c r="W11" i="3"/>
  <c r="W10" i="3"/>
  <c r="W9" i="3"/>
  <c r="W8" i="3"/>
  <c r="W7" i="3"/>
  <c r="W6" i="3"/>
  <c r="W5" i="3"/>
  <c r="W4" i="3"/>
  <c r="K4" i="3"/>
  <c r="O334" i="3" s="1"/>
  <c r="W3" i="3"/>
  <c r="F435" i="1"/>
  <c r="B172" i="2" s="1"/>
  <c r="C172" i="2" s="1"/>
  <c r="F419" i="1"/>
  <c r="B165" i="2" s="1"/>
  <c r="C165" i="2" s="1"/>
  <c r="F401" i="1"/>
  <c r="B157" i="2" s="1"/>
  <c r="C157" i="2" s="1"/>
  <c r="F391" i="1"/>
  <c r="B153" i="2" s="1"/>
  <c r="C153" i="2" s="1"/>
  <c r="J363" i="1"/>
  <c r="B143" i="2" s="1"/>
  <c r="C143" i="2" s="1"/>
  <c r="J361" i="1"/>
  <c r="B140" i="2" s="1"/>
  <c r="C140" i="2" s="1"/>
  <c r="J359" i="1"/>
  <c r="B137" i="2" s="1"/>
  <c r="C137" i="2" s="1"/>
  <c r="J357" i="1"/>
  <c r="B134" i="2" s="1"/>
  <c r="C134" i="2" s="1"/>
  <c r="J355" i="1"/>
  <c r="B131" i="2" s="1"/>
  <c r="C131" i="2" s="1"/>
  <c r="J353" i="1"/>
  <c r="B128" i="2" s="1"/>
  <c r="C128" i="2" s="1"/>
  <c r="J351" i="1"/>
  <c r="B125" i="2" s="1"/>
  <c r="C125" i="2" s="1"/>
  <c r="J349" i="1"/>
  <c r="B122" i="2" s="1"/>
  <c r="C122" i="2" s="1"/>
  <c r="B89" i="2"/>
  <c r="C89" i="2" s="1"/>
  <c r="G227" i="1"/>
  <c r="B81" i="2" s="1"/>
  <c r="C81" i="2" s="1"/>
  <c r="I198" i="1"/>
  <c r="B73" i="2" s="1"/>
  <c r="C73" i="2" s="1"/>
  <c r="I176" i="1"/>
  <c r="I170" i="1"/>
  <c r="I124" i="1"/>
  <c r="B35" i="2" s="1"/>
  <c r="F124" i="1"/>
  <c r="B34" i="2" s="1"/>
  <c r="I93" i="1"/>
  <c r="B16" i="2" s="1"/>
  <c r="E57" i="1"/>
  <c r="D57" i="1"/>
  <c r="E56" i="1"/>
  <c r="D56" i="1"/>
  <c r="E55" i="1"/>
  <c r="D55" i="1"/>
  <c r="E54" i="1"/>
  <c r="D54" i="1"/>
  <c r="E53" i="1"/>
  <c r="D53" i="1"/>
  <c r="E52" i="1"/>
  <c r="D52" i="1"/>
  <c r="E51" i="1"/>
  <c r="D51" i="1"/>
  <c r="E50" i="1"/>
  <c r="D50" i="1"/>
  <c r="E49" i="1"/>
  <c r="C16" i="2" l="1"/>
  <c r="O29" i="3"/>
  <c r="O99" i="3"/>
  <c r="O342" i="3"/>
  <c r="O349" i="3"/>
  <c r="O82" i="3"/>
  <c r="O126" i="3"/>
  <c r="O212" i="3"/>
  <c r="O226" i="3"/>
  <c r="O329" i="3"/>
  <c r="O12" i="3"/>
  <c r="O18" i="3"/>
  <c r="O37" i="3"/>
  <c r="O54" i="3"/>
  <c r="O59" i="3"/>
  <c r="O65" i="3"/>
  <c r="O70" i="3"/>
  <c r="O89" i="3"/>
  <c r="O95" i="3"/>
  <c r="O185" i="3"/>
  <c r="O206" i="3"/>
  <c r="O270" i="3"/>
  <c r="O297" i="3"/>
  <c r="O317" i="3"/>
  <c r="O324" i="3"/>
  <c r="O115" i="3"/>
  <c r="O134" i="3"/>
  <c r="O146" i="3"/>
  <c r="O152" i="3"/>
  <c r="O165" i="3"/>
  <c r="O221" i="3"/>
  <c r="O41" i="3"/>
  <c r="O106" i="3"/>
  <c r="O138" i="3"/>
  <c r="O7" i="3"/>
  <c r="O44" i="3"/>
  <c r="O55" i="3"/>
  <c r="O66" i="3"/>
  <c r="O278" i="3"/>
  <c r="O325" i="3"/>
  <c r="O39" i="3"/>
  <c r="O91" i="3"/>
  <c r="O110" i="3"/>
  <c r="O129" i="3"/>
  <c r="O161" i="3"/>
  <c r="O313" i="3"/>
  <c r="O15" i="3"/>
  <c r="O51" i="3"/>
  <c r="O67" i="3"/>
  <c r="O86" i="3"/>
  <c r="O182" i="3"/>
  <c r="O196" i="3"/>
  <c r="O253" i="3"/>
  <c r="O260" i="3"/>
  <c r="O294" i="3"/>
  <c r="O144" i="3"/>
  <c r="O26" i="3"/>
  <c r="O50" i="3"/>
  <c r="O78" i="3"/>
  <c r="O141" i="3"/>
  <c r="O244" i="3"/>
  <c r="O285" i="3"/>
  <c r="O298" i="3"/>
  <c r="O20" i="3"/>
  <c r="O97" i="3"/>
  <c r="O123" i="3"/>
  <c r="O174" i="3"/>
  <c r="O202" i="3"/>
  <c r="O332" i="3"/>
  <c r="O35" i="3"/>
  <c r="O46" i="3"/>
  <c r="O57" i="3"/>
  <c r="O63" i="3"/>
  <c r="O74" i="3"/>
  <c r="O118" i="3"/>
  <c r="O149" i="3"/>
  <c r="O162" i="3"/>
  <c r="O268" i="3"/>
  <c r="O274" i="3"/>
  <c r="O300" i="3"/>
  <c r="O9" i="3"/>
  <c r="O14" i="3"/>
  <c r="O19" i="3"/>
  <c r="O30" i="3"/>
  <c r="O114" i="3"/>
  <c r="O119" i="3"/>
  <c r="O130" i="3"/>
  <c r="O181" i="3"/>
  <c r="O233" i="3"/>
  <c r="O246" i="3"/>
  <c r="O6" i="3"/>
  <c r="O11" i="3"/>
  <c r="O47" i="3"/>
  <c r="O81" i="3"/>
  <c r="O121" i="3"/>
  <c r="O308" i="3"/>
  <c r="O321" i="3"/>
  <c r="O21" i="3"/>
  <c r="O33" i="3"/>
  <c r="O38" i="3"/>
  <c r="O43" i="3"/>
  <c r="O87" i="3"/>
  <c r="O111" i="3"/>
  <c r="O178" i="3"/>
  <c r="O204" i="3"/>
  <c r="O210" i="3"/>
  <c r="O230" i="3"/>
  <c r="O236" i="3"/>
  <c r="O249" i="3"/>
  <c r="X22" i="3"/>
  <c r="Y22" i="3" s="1"/>
  <c r="X62" i="3"/>
  <c r="Z62" i="3" s="1"/>
  <c r="Z22" i="3"/>
  <c r="X129" i="3"/>
  <c r="X316" i="3"/>
  <c r="X312" i="3"/>
  <c r="X296" i="3"/>
  <c r="X280" i="3"/>
  <c r="X232" i="3"/>
  <c r="X225" i="3"/>
  <c r="X206" i="3"/>
  <c r="X187" i="3"/>
  <c r="X135" i="3"/>
  <c r="X120" i="3"/>
  <c r="X91" i="3"/>
  <c r="X272" i="3"/>
  <c r="X221" i="3"/>
  <c r="X274" i="3"/>
  <c r="X33" i="3"/>
  <c r="X35" i="3"/>
  <c r="X37" i="3"/>
  <c r="X41" i="3"/>
  <c r="X43" i="3"/>
  <c r="X59" i="3"/>
  <c r="X102" i="3"/>
  <c r="X168" i="3"/>
  <c r="X325" i="3"/>
  <c r="X350" i="3"/>
  <c r="X345" i="3"/>
  <c r="X196" i="3"/>
  <c r="X4" i="3"/>
  <c r="X65" i="3"/>
  <c r="X124" i="3"/>
  <c r="X133" i="3"/>
  <c r="X230" i="3"/>
  <c r="X270" i="3"/>
  <c r="X40" i="3"/>
  <c r="X42" i="3"/>
  <c r="X83" i="3"/>
  <c r="X100" i="3"/>
  <c r="X123" i="3"/>
  <c r="X132" i="3"/>
  <c r="X138" i="3"/>
  <c r="X249" i="3"/>
  <c r="X57" i="3"/>
  <c r="X70" i="3"/>
  <c r="X73" i="3"/>
  <c r="X82" i="3"/>
  <c r="X85" i="3"/>
  <c r="X89" i="3"/>
  <c r="X99" i="3"/>
  <c r="X200" i="3"/>
  <c r="X340" i="3"/>
  <c r="X6" i="3"/>
  <c r="X27" i="3"/>
  <c r="X29" i="3"/>
  <c r="X97" i="3"/>
  <c r="X211" i="3"/>
  <c r="X219" i="3"/>
  <c r="X310" i="3"/>
  <c r="X17" i="3"/>
  <c r="X103" i="3"/>
  <c r="X109" i="3"/>
  <c r="X121" i="3"/>
  <c r="X223" i="3"/>
  <c r="X238" i="3"/>
  <c r="X278" i="3"/>
  <c r="X287" i="3"/>
  <c r="X347" i="3"/>
  <c r="X352" i="3"/>
  <c r="X13" i="3"/>
  <c r="X15" i="3"/>
  <c r="X19" i="3"/>
  <c r="X32" i="3"/>
  <c r="X44" i="3"/>
  <c r="X58" i="3"/>
  <c r="X93" i="3"/>
  <c r="X220" i="3"/>
  <c r="X251" i="3"/>
  <c r="X11" i="3"/>
  <c r="X74" i="3"/>
  <c r="X79" i="3"/>
  <c r="X81" i="3"/>
  <c r="X88" i="3"/>
  <c r="X98" i="3"/>
  <c r="X101" i="3"/>
  <c r="X122" i="3"/>
  <c r="X134" i="3"/>
  <c r="X162" i="3"/>
  <c r="X268" i="3"/>
  <c r="X271" i="3"/>
  <c r="X295" i="3"/>
  <c r="X10" i="3"/>
  <c r="X14" i="3"/>
  <c r="X18" i="3"/>
  <c r="X12" i="3"/>
  <c r="X92" i="3"/>
  <c r="X136" i="3"/>
  <c r="X145" i="3"/>
  <c r="X164" i="3"/>
  <c r="X203" i="3"/>
  <c r="X336" i="3"/>
  <c r="X53" i="3"/>
  <c r="X60" i="3"/>
  <c r="X87" i="3"/>
  <c r="X149" i="3"/>
  <c r="X63" i="3"/>
  <c r="X68" i="3"/>
  <c r="X90" i="3"/>
  <c r="X174" i="3"/>
  <c r="X181" i="3"/>
  <c r="X215" i="3"/>
  <c r="X36" i="3"/>
  <c r="X51" i="3"/>
  <c r="X61" i="3"/>
  <c r="X71" i="3"/>
  <c r="X117" i="3"/>
  <c r="X119" i="3"/>
  <c r="X125" i="3"/>
  <c r="X150" i="3"/>
  <c r="X170" i="3"/>
  <c r="X291" i="3"/>
  <c r="X3" i="3"/>
  <c r="X5" i="3"/>
  <c r="X28" i="3"/>
  <c r="X7" i="3"/>
  <c r="X24" i="3"/>
  <c r="X26" i="3"/>
  <c r="X30" i="3"/>
  <c r="X47" i="3"/>
  <c r="X64" i="3"/>
  <c r="X66" i="3"/>
  <c r="X69" i="3"/>
  <c r="X72" i="3"/>
  <c r="X84" i="3"/>
  <c r="X115" i="3"/>
  <c r="X155" i="3"/>
  <c r="X195" i="3"/>
  <c r="X202" i="3"/>
  <c r="X212" i="3"/>
  <c r="X217" i="3"/>
  <c r="X240" i="3"/>
  <c r="X265" i="3"/>
  <c r="X67" i="3"/>
  <c r="X108" i="3"/>
  <c r="X112" i="3"/>
  <c r="X130" i="3"/>
  <c r="X147" i="3"/>
  <c r="X183" i="3"/>
  <c r="X189" i="3"/>
  <c r="X204" i="3"/>
  <c r="X216" i="3"/>
  <c r="X234" i="3"/>
  <c r="X244" i="3"/>
  <c r="X247" i="3"/>
  <c r="X250" i="3"/>
  <c r="X253" i="3"/>
  <c r="X257" i="3"/>
  <c r="X263" i="3"/>
  <c r="X282" i="3"/>
  <c r="X285" i="3"/>
  <c r="X302" i="3"/>
  <c r="X308" i="3"/>
  <c r="X320" i="3"/>
  <c r="X323" i="3"/>
  <c r="X334" i="3"/>
  <c r="X344" i="3"/>
  <c r="X348" i="3"/>
  <c r="X9" i="3"/>
  <c r="X16" i="3"/>
  <c r="X21" i="3"/>
  <c r="X23" i="3"/>
  <c r="X25" i="3"/>
  <c r="X34" i="3"/>
  <c r="X39" i="3"/>
  <c r="X46" i="3"/>
  <c r="X50" i="3"/>
  <c r="X52" i="3"/>
  <c r="X54" i="3"/>
  <c r="X56" i="3"/>
  <c r="X76" i="3"/>
  <c r="X78" i="3"/>
  <c r="X80" i="3"/>
  <c r="X94" i="3"/>
  <c r="X96" i="3"/>
  <c r="X104" i="3"/>
  <c r="X106" i="3"/>
  <c r="X114" i="3"/>
  <c r="X116" i="3"/>
  <c r="X118" i="3"/>
  <c r="X137" i="3"/>
  <c r="X139" i="3"/>
  <c r="X159" i="3"/>
  <c r="X267" i="3"/>
  <c r="X297" i="3"/>
  <c r="X300" i="3"/>
  <c r="X306" i="3"/>
  <c r="X309" i="3"/>
  <c r="X330" i="3"/>
  <c r="X319" i="3"/>
  <c r="X317" i="3"/>
  <c r="X298" i="3"/>
  <c r="X283" i="3"/>
  <c r="X281" i="3"/>
  <c r="X279" i="3"/>
  <c r="X266" i="3"/>
  <c r="X264" i="3"/>
  <c r="X262" i="3"/>
  <c r="X260" i="3"/>
  <c r="X245" i="3"/>
  <c r="X228" i="3"/>
  <c r="X226" i="3"/>
  <c r="X209" i="3"/>
  <c r="X207" i="3"/>
  <c r="X194" i="3"/>
  <c r="X192" i="3"/>
  <c r="X190" i="3"/>
  <c r="X188" i="3"/>
  <c r="X186" i="3"/>
  <c r="X177" i="3"/>
  <c r="X175" i="3"/>
  <c r="X160" i="3"/>
  <c r="X158" i="3"/>
  <c r="X156" i="3"/>
  <c r="X154" i="3"/>
  <c r="X152" i="3"/>
  <c r="X143" i="3"/>
  <c r="X141" i="3"/>
  <c r="X351" i="3"/>
  <c r="X349" i="3"/>
  <c r="X328" i="3"/>
  <c r="X326" i="3"/>
  <c r="X315" i="3"/>
  <c r="X313" i="3"/>
  <c r="X277" i="3"/>
  <c r="X275" i="3"/>
  <c r="X258" i="3"/>
  <c r="X256" i="3"/>
  <c r="X254" i="3"/>
  <c r="X243" i="3"/>
  <c r="X241" i="3"/>
  <c r="X239" i="3"/>
  <c r="X237" i="3"/>
  <c r="X224" i="3"/>
  <c r="X222" i="3"/>
  <c r="X205" i="3"/>
  <c r="X184" i="3"/>
  <c r="X182" i="3"/>
  <c r="X173" i="3"/>
  <c r="X171" i="3"/>
  <c r="X169" i="3"/>
  <c r="X167" i="3"/>
  <c r="X165" i="3"/>
  <c r="X341" i="3"/>
  <c r="X339" i="3"/>
  <c r="X337" i="3"/>
  <c r="X335" i="3"/>
  <c r="X333" i="3"/>
  <c r="X322" i="3"/>
  <c r="X307" i="3"/>
  <c r="X305" i="3"/>
  <c r="X303" i="3"/>
  <c r="X301" i="3"/>
  <c r="X292" i="3"/>
  <c r="X290" i="3"/>
  <c r="X288" i="3"/>
  <c r="X286" i="3"/>
  <c r="X269" i="3"/>
  <c r="X248" i="3"/>
  <c r="X246" i="3"/>
  <c r="X231" i="3"/>
  <c r="X210" i="3"/>
  <c r="X201" i="3"/>
  <c r="X199" i="3"/>
  <c r="X197" i="3"/>
  <c r="X180" i="3"/>
  <c r="X178" i="3"/>
  <c r="X161" i="3"/>
  <c r="X144" i="3"/>
  <c r="X331" i="3"/>
  <c r="X329" i="3"/>
  <c r="X327" i="3"/>
  <c r="X314" i="3"/>
  <c r="X304" i="3"/>
  <c r="X299" i="3"/>
  <c r="X294" i="3"/>
  <c r="X261" i="3"/>
  <c r="X236" i="3"/>
  <c r="X229" i="3"/>
  <c r="X218" i="3"/>
  <c r="X213" i="3"/>
  <c r="X208" i="3"/>
  <c r="X198" i="3"/>
  <c r="X193" i="3"/>
  <c r="X185" i="3"/>
  <c r="X166" i="3"/>
  <c r="X151" i="3"/>
  <c r="X142" i="3"/>
  <c r="X140" i="3"/>
  <c r="X343" i="3"/>
  <c r="X338" i="3"/>
  <c r="X311" i="3"/>
  <c r="X289" i="3"/>
  <c r="X284" i="3"/>
  <c r="X276" i="3"/>
  <c r="X273" i="3"/>
  <c r="X255" i="3"/>
  <c r="X252" i="3"/>
  <c r="X242" i="3"/>
  <c r="X233" i="3"/>
  <c r="X172" i="3"/>
  <c r="X163" i="3"/>
  <c r="X153" i="3"/>
  <c r="X146" i="3"/>
  <c r="X128" i="3"/>
  <c r="X126" i="3"/>
  <c r="X110" i="3"/>
  <c r="X95" i="3"/>
  <c r="X86" i="3"/>
  <c r="X77" i="3"/>
  <c r="X75" i="3"/>
  <c r="X55" i="3"/>
  <c r="X48" i="3"/>
  <c r="X346" i="3"/>
  <c r="X8" i="3"/>
  <c r="X20" i="3"/>
  <c r="X31" i="3"/>
  <c r="X38" i="3"/>
  <c r="X45" i="3"/>
  <c r="X49" i="3"/>
  <c r="X105" i="3"/>
  <c r="X107" i="3"/>
  <c r="X111" i="3"/>
  <c r="X113" i="3"/>
  <c r="X127" i="3"/>
  <c r="X131" i="3"/>
  <c r="X148" i="3"/>
  <c r="X157" i="3"/>
  <c r="X176" i="3"/>
  <c r="X179" i="3"/>
  <c r="X191" i="3"/>
  <c r="X214" i="3"/>
  <c r="X227" i="3"/>
  <c r="X235" i="3"/>
  <c r="X259" i="3"/>
  <c r="X293" i="3"/>
  <c r="X318" i="3"/>
  <c r="X321" i="3"/>
  <c r="X324" i="3"/>
  <c r="X332" i="3"/>
  <c r="X342" i="3"/>
  <c r="O261" i="3"/>
  <c r="O289" i="3"/>
  <c r="O306" i="3"/>
  <c r="O309" i="3"/>
  <c r="O340" i="3"/>
  <c r="O13" i="3"/>
  <c r="O25" i="3"/>
  <c r="O31" i="3"/>
  <c r="O36" i="3"/>
  <c r="O42" i="3"/>
  <c r="O58" i="3"/>
  <c r="O62" i="3"/>
  <c r="O73" i="3"/>
  <c r="O103" i="3"/>
  <c r="O107" i="3"/>
  <c r="O122" i="3"/>
  <c r="O140" i="3"/>
  <c r="O143" i="3"/>
  <c r="O170" i="3"/>
  <c r="O193" i="3"/>
  <c r="O201" i="3"/>
  <c r="O229" i="3"/>
  <c r="O238" i="3"/>
  <c r="O266" i="3"/>
  <c r="O351" i="3"/>
  <c r="O343" i="3"/>
  <c r="O335" i="3"/>
  <c r="O327" i="3"/>
  <c r="O319" i="3"/>
  <c r="O311" i="3"/>
  <c r="O303" i="3"/>
  <c r="O295" i="3"/>
  <c r="O287" i="3"/>
  <c r="O279" i="3"/>
  <c r="O271" i="3"/>
  <c r="O263" i="3"/>
  <c r="O255" i="3"/>
  <c r="O247" i="3"/>
  <c r="O239" i="3"/>
  <c r="O231" i="3"/>
  <c r="O223" i="3"/>
  <c r="O215" i="3"/>
  <c r="O207" i="3"/>
  <c r="O199" i="3"/>
  <c r="O191" i="3"/>
  <c r="O183" i="3"/>
  <c r="O175" i="3"/>
  <c r="O167" i="3"/>
  <c r="O159" i="3"/>
  <c r="O151" i="3"/>
  <c r="O352" i="3"/>
  <c r="O344" i="3"/>
  <c r="O336" i="3"/>
  <c r="O328" i="3"/>
  <c r="O320" i="3"/>
  <c r="O312" i="3"/>
  <c r="O304" i="3"/>
  <c r="O296" i="3"/>
  <c r="O288" i="3"/>
  <c r="O280" i="3"/>
  <c r="O272" i="3"/>
  <c r="O264" i="3"/>
  <c r="O256" i="3"/>
  <c r="O248" i="3"/>
  <c r="O240" i="3"/>
  <c r="O232" i="3"/>
  <c r="O224" i="3"/>
  <c r="O216" i="3"/>
  <c r="O208" i="3"/>
  <c r="O200" i="3"/>
  <c r="O192" i="3"/>
  <c r="O184" i="3"/>
  <c r="O176" i="3"/>
  <c r="O168" i="3"/>
  <c r="O160" i="3"/>
  <c r="O347" i="3"/>
  <c r="O339" i="3"/>
  <c r="O331" i="3"/>
  <c r="O323" i="3"/>
  <c r="O315" i="3"/>
  <c r="O307" i="3"/>
  <c r="O299" i="3"/>
  <c r="O291" i="3"/>
  <c r="O283" i="3"/>
  <c r="O275" i="3"/>
  <c r="O267" i="3"/>
  <c r="O259" i="3"/>
  <c r="O251" i="3"/>
  <c r="O243" i="3"/>
  <c r="O235" i="3"/>
  <c r="O227" i="3"/>
  <c r="O219" i="3"/>
  <c r="O211" i="3"/>
  <c r="O203" i="3"/>
  <c r="O195" i="3"/>
  <c r="O187" i="3"/>
  <c r="O179" i="3"/>
  <c r="O171" i="3"/>
  <c r="O163" i="3"/>
  <c r="O155" i="3"/>
  <c r="O147" i="3"/>
  <c r="O139" i="3"/>
  <c r="O131" i="3"/>
  <c r="O348" i="3"/>
  <c r="O337" i="3"/>
  <c r="O333" i="3"/>
  <c r="O318" i="3"/>
  <c r="O314" i="3"/>
  <c r="O284" i="3"/>
  <c r="O273" i="3"/>
  <c r="O269" i="3"/>
  <c r="O254" i="3"/>
  <c r="O250" i="3"/>
  <c r="O220" i="3"/>
  <c r="O209" i="3"/>
  <c r="O205" i="3"/>
  <c r="O190" i="3"/>
  <c r="O186" i="3"/>
  <c r="O156" i="3"/>
  <c r="O148" i="3"/>
  <c r="O136" i="3"/>
  <c r="O124" i="3"/>
  <c r="O116" i="3"/>
  <c r="O108" i="3"/>
  <c r="O100" i="3"/>
  <c r="O92" i="3"/>
  <c r="O84" i="3"/>
  <c r="O76" i="3"/>
  <c r="O68" i="3"/>
  <c r="O60" i="3"/>
  <c r="O52" i="3"/>
  <c r="O345" i="3"/>
  <c r="O341" i="3"/>
  <c r="O326" i="3"/>
  <c r="O322" i="3"/>
  <c r="O292" i="3"/>
  <c r="O281" i="3"/>
  <c r="O277" i="3"/>
  <c r="O262" i="3"/>
  <c r="O258" i="3"/>
  <c r="O228" i="3"/>
  <c r="O217" i="3"/>
  <c r="O213" i="3"/>
  <c r="O198" i="3"/>
  <c r="O194" i="3"/>
  <c r="O164" i="3"/>
  <c r="O153" i="3"/>
  <c r="O142" i="3"/>
  <c r="O137" i="3"/>
  <c r="O125" i="3"/>
  <c r="O117" i="3"/>
  <c r="O109" i="3"/>
  <c r="O101" i="3"/>
  <c r="O93" i="3"/>
  <c r="O85" i="3"/>
  <c r="O77" i="3"/>
  <c r="O69" i="3"/>
  <c r="O61" i="3"/>
  <c r="O53" i="3"/>
  <c r="O350" i="3"/>
  <c r="O346" i="3"/>
  <c r="O316" i="3"/>
  <c r="O305" i="3"/>
  <c r="O301" i="3"/>
  <c r="O286" i="3"/>
  <c r="O282" i="3"/>
  <c r="O252" i="3"/>
  <c r="O241" i="3"/>
  <c r="O237" i="3"/>
  <c r="O222" i="3"/>
  <c r="O218" i="3"/>
  <c r="O188" i="3"/>
  <c r="O177" i="3"/>
  <c r="O173" i="3"/>
  <c r="O158" i="3"/>
  <c r="O154" i="3"/>
  <c r="O150" i="3"/>
  <c r="O145" i="3"/>
  <c r="O133" i="3"/>
  <c r="O127" i="3"/>
  <c r="O120" i="3"/>
  <c r="O112" i="3"/>
  <c r="O104" i="3"/>
  <c r="O96" i="3"/>
  <c r="O88" i="3"/>
  <c r="O80" i="3"/>
  <c r="O72" i="3"/>
  <c r="O64" i="3"/>
  <c r="O56" i="3"/>
  <c r="O48" i="3"/>
  <c r="O40" i="3"/>
  <c r="O32" i="3"/>
  <c r="O24" i="3"/>
  <c r="O16" i="3"/>
  <c r="O8" i="3"/>
  <c r="O5" i="3"/>
  <c r="O17" i="3"/>
  <c r="O23" i="3"/>
  <c r="O28" i="3"/>
  <c r="O34" i="3"/>
  <c r="O49" i="3"/>
  <c r="O79" i="3"/>
  <c r="O83" i="3"/>
  <c r="O98" i="3"/>
  <c r="O102" i="3"/>
  <c r="O113" i="3"/>
  <c r="O128" i="3"/>
  <c r="O132" i="3"/>
  <c r="O135" i="3"/>
  <c r="O166" i="3"/>
  <c r="O169" i="3"/>
  <c r="O172" i="3"/>
  <c r="O180" i="3"/>
  <c r="O189" i="3"/>
  <c r="O214" i="3"/>
  <c r="O234" i="3"/>
  <c r="O257" i="3"/>
  <c r="O265" i="3"/>
  <c r="O293" i="3"/>
  <c r="O302" i="3"/>
  <c r="O330" i="3"/>
  <c r="O3" i="3"/>
  <c r="O4" i="3"/>
  <c r="O10" i="3"/>
  <c r="O22" i="3"/>
  <c r="O27" i="3"/>
  <c r="O45" i="3"/>
  <c r="O71" i="3"/>
  <c r="O75" i="3"/>
  <c r="O90" i="3"/>
  <c r="O94" i="3"/>
  <c r="O105" i="3"/>
  <c r="O157" i="3"/>
  <c r="O197" i="3"/>
  <c r="O225" i="3"/>
  <c r="O242" i="3"/>
  <c r="O245" i="3"/>
  <c r="O276" i="3"/>
  <c r="O290" i="3"/>
  <c r="O310" i="3"/>
  <c r="O338" i="3"/>
  <c r="Y62" i="3" l="1"/>
  <c r="Y227" i="3"/>
  <c r="Z227" i="3"/>
  <c r="Z172" i="3"/>
  <c r="Y172" i="3"/>
  <c r="Y289" i="3"/>
  <c r="Z289" i="3"/>
  <c r="Y185" i="3"/>
  <c r="Z185" i="3"/>
  <c r="Y261" i="3"/>
  <c r="Z261" i="3"/>
  <c r="Z144" i="3"/>
  <c r="Y144" i="3"/>
  <c r="Z231" i="3"/>
  <c r="Y231" i="3"/>
  <c r="Z301" i="3"/>
  <c r="Y301" i="3"/>
  <c r="Z339" i="3"/>
  <c r="Y339" i="3"/>
  <c r="Y184" i="3"/>
  <c r="Z184" i="3"/>
  <c r="Y254" i="3"/>
  <c r="Z254" i="3"/>
  <c r="Y328" i="3"/>
  <c r="Z328" i="3"/>
  <c r="Z158" i="3"/>
  <c r="Y158" i="3"/>
  <c r="Y194" i="3"/>
  <c r="Z194" i="3"/>
  <c r="Z264" i="3"/>
  <c r="Y264" i="3"/>
  <c r="Z330" i="3"/>
  <c r="Y330" i="3"/>
  <c r="Z137" i="3"/>
  <c r="Y137" i="3"/>
  <c r="Z80" i="3"/>
  <c r="Y80" i="3"/>
  <c r="Z39" i="3"/>
  <c r="Y39" i="3"/>
  <c r="Z344" i="3"/>
  <c r="Y344" i="3"/>
  <c r="Y263" i="3"/>
  <c r="Z263" i="3"/>
  <c r="Z204" i="3"/>
  <c r="Y204" i="3"/>
  <c r="Y265" i="3"/>
  <c r="Z265" i="3"/>
  <c r="Y84" i="3"/>
  <c r="Z84" i="3"/>
  <c r="Z24" i="3"/>
  <c r="Y24" i="3"/>
  <c r="Z125" i="3"/>
  <c r="Y125" i="3"/>
  <c r="Z181" i="3"/>
  <c r="Y181" i="3"/>
  <c r="Z53" i="3"/>
  <c r="Y53" i="3"/>
  <c r="Z18" i="3"/>
  <c r="Y18" i="3"/>
  <c r="Z122" i="3"/>
  <c r="Y122" i="3"/>
  <c r="Z251" i="3"/>
  <c r="Y251" i="3"/>
  <c r="Y13" i="3"/>
  <c r="Z13" i="3"/>
  <c r="Y109" i="3"/>
  <c r="Z109" i="3"/>
  <c r="Z27" i="3"/>
  <c r="Y27" i="3"/>
  <c r="Y73" i="3"/>
  <c r="Z73" i="3"/>
  <c r="Z83" i="3"/>
  <c r="Y83" i="3"/>
  <c r="Z4" i="3"/>
  <c r="Y4" i="3"/>
  <c r="Y43" i="3"/>
  <c r="Z43" i="3"/>
  <c r="Y91" i="3"/>
  <c r="Z91" i="3"/>
  <c r="Z296" i="3"/>
  <c r="Y296" i="3"/>
  <c r="Y86" i="3"/>
  <c r="Z86" i="3"/>
  <c r="Y113" i="3"/>
  <c r="Z113" i="3"/>
  <c r="Z233" i="3"/>
  <c r="Y233" i="3"/>
  <c r="Z294" i="3"/>
  <c r="Y294" i="3"/>
  <c r="Z303" i="3"/>
  <c r="Y303" i="3"/>
  <c r="Y256" i="3"/>
  <c r="Z256" i="3"/>
  <c r="Y349" i="3"/>
  <c r="Z349" i="3"/>
  <c r="Z266" i="3"/>
  <c r="Y266" i="3"/>
  <c r="Z309" i="3"/>
  <c r="Y309" i="3"/>
  <c r="Y118" i="3"/>
  <c r="Z118" i="3"/>
  <c r="Y78" i="3"/>
  <c r="Z78" i="3"/>
  <c r="Z34" i="3"/>
  <c r="Y34" i="3"/>
  <c r="Y334" i="3"/>
  <c r="Z334" i="3"/>
  <c r="Z257" i="3"/>
  <c r="Y257" i="3"/>
  <c r="Y189" i="3"/>
  <c r="Z189" i="3"/>
  <c r="Z240" i="3"/>
  <c r="Y240" i="3"/>
  <c r="Z72" i="3"/>
  <c r="Y72" i="3"/>
  <c r="Y7" i="3"/>
  <c r="Z7" i="3"/>
  <c r="Z119" i="3"/>
  <c r="Y119" i="3"/>
  <c r="Y174" i="3"/>
  <c r="Z174" i="3"/>
  <c r="Y336" i="3"/>
  <c r="Z336" i="3"/>
  <c r="Y14" i="3"/>
  <c r="Z14" i="3"/>
  <c r="Z101" i="3"/>
  <c r="Y101" i="3"/>
  <c r="Z220" i="3"/>
  <c r="Y220" i="3"/>
  <c r="Z352" i="3"/>
  <c r="Y352" i="3"/>
  <c r="Y103" i="3"/>
  <c r="Z103" i="3"/>
  <c r="Y6" i="3"/>
  <c r="Z6" i="3"/>
  <c r="Y70" i="3"/>
  <c r="Z70" i="3"/>
  <c r="Y42" i="3"/>
  <c r="Z42" i="3"/>
  <c r="Z196" i="3"/>
  <c r="Y196" i="3"/>
  <c r="Z41" i="3"/>
  <c r="Y41" i="3"/>
  <c r="Z120" i="3"/>
  <c r="Y120" i="3"/>
  <c r="Z312" i="3"/>
  <c r="Y312" i="3"/>
  <c r="Z324" i="3"/>
  <c r="Y324" i="3"/>
  <c r="Y191" i="3"/>
  <c r="Z191" i="3"/>
  <c r="Z111" i="3"/>
  <c r="Y111" i="3"/>
  <c r="Y8" i="3"/>
  <c r="Z8" i="3"/>
  <c r="Z110" i="3"/>
  <c r="Y110" i="3"/>
  <c r="Z242" i="3"/>
  <c r="Y242" i="3"/>
  <c r="Y338" i="3"/>
  <c r="Z338" i="3"/>
  <c r="Z198" i="3"/>
  <c r="Y198" i="3"/>
  <c r="Y299" i="3"/>
  <c r="Z299" i="3"/>
  <c r="Z178" i="3"/>
  <c r="Y178" i="3"/>
  <c r="Z248" i="3"/>
  <c r="Y248" i="3"/>
  <c r="Z305" i="3"/>
  <c r="Y305" i="3"/>
  <c r="Y165" i="3"/>
  <c r="Z165" i="3"/>
  <c r="Y222" i="3"/>
  <c r="Z222" i="3"/>
  <c r="Y258" i="3"/>
  <c r="Z258" i="3"/>
  <c r="Y351" i="3"/>
  <c r="Z351" i="3"/>
  <c r="Y175" i="3"/>
  <c r="Z175" i="3"/>
  <c r="Z209" i="3"/>
  <c r="Y209" i="3"/>
  <c r="Y279" i="3"/>
  <c r="Z279" i="3"/>
  <c r="Z306" i="3"/>
  <c r="Y306" i="3"/>
  <c r="Z116" i="3"/>
  <c r="Y116" i="3"/>
  <c r="Z76" i="3"/>
  <c r="Y76" i="3"/>
  <c r="Y25" i="3"/>
  <c r="Z25" i="3"/>
  <c r="Z323" i="3"/>
  <c r="Y323" i="3"/>
  <c r="Z253" i="3"/>
  <c r="Y253" i="3"/>
  <c r="Z183" i="3"/>
  <c r="Y183" i="3"/>
  <c r="Z217" i="3"/>
  <c r="Y217" i="3"/>
  <c r="Z69" i="3"/>
  <c r="Y69" i="3"/>
  <c r="Y28" i="3"/>
  <c r="Z28" i="3"/>
  <c r="Y117" i="3"/>
  <c r="Z117" i="3"/>
  <c r="Z90" i="3"/>
  <c r="Y90" i="3"/>
  <c r="Z203" i="3"/>
  <c r="Y203" i="3"/>
  <c r="Y10" i="3"/>
  <c r="Z10" i="3"/>
  <c r="Z98" i="3"/>
  <c r="Y98" i="3"/>
  <c r="Y93" i="3"/>
  <c r="Z93" i="3"/>
  <c r="Z347" i="3"/>
  <c r="Y347" i="3"/>
  <c r="Z17" i="3"/>
  <c r="Y17" i="3"/>
  <c r="Z340" i="3"/>
  <c r="Y340" i="3"/>
  <c r="Z57" i="3"/>
  <c r="Y57" i="3"/>
  <c r="Y40" i="3"/>
  <c r="Z40" i="3"/>
  <c r="Z345" i="3"/>
  <c r="Y345" i="3"/>
  <c r="Z37" i="3"/>
  <c r="Y37" i="3"/>
  <c r="Z135" i="3"/>
  <c r="Y135" i="3"/>
  <c r="Z316" i="3"/>
  <c r="Y316" i="3"/>
  <c r="Z321" i="3"/>
  <c r="Y321" i="3"/>
  <c r="Y179" i="3"/>
  <c r="Z179" i="3"/>
  <c r="Z107" i="3"/>
  <c r="Y107" i="3"/>
  <c r="Z346" i="3"/>
  <c r="Y346" i="3"/>
  <c r="Y126" i="3"/>
  <c r="Z126" i="3"/>
  <c r="Z252" i="3"/>
  <c r="Y252" i="3"/>
  <c r="Z343" i="3"/>
  <c r="Y343" i="3"/>
  <c r="Y208" i="3"/>
  <c r="Z208" i="3"/>
  <c r="Z304" i="3"/>
  <c r="Y304" i="3"/>
  <c r="Z180" i="3"/>
  <c r="Y180" i="3"/>
  <c r="Z269" i="3"/>
  <c r="Y269" i="3"/>
  <c r="Z307" i="3"/>
  <c r="Y307" i="3"/>
  <c r="Y167" i="3"/>
  <c r="Z167" i="3"/>
  <c r="Y224" i="3"/>
  <c r="Z224" i="3"/>
  <c r="Y275" i="3"/>
  <c r="Z275" i="3"/>
  <c r="Z141" i="3"/>
  <c r="Y141" i="3"/>
  <c r="Z177" i="3"/>
  <c r="Y177" i="3"/>
  <c r="Z226" i="3"/>
  <c r="Y226" i="3"/>
  <c r="Z281" i="3"/>
  <c r="Y281" i="3"/>
  <c r="Y300" i="3"/>
  <c r="Z300" i="3"/>
  <c r="Z114" i="3"/>
  <c r="Y114" i="3"/>
  <c r="Z56" i="3"/>
  <c r="Y56" i="3"/>
  <c r="Y23" i="3"/>
  <c r="Z23" i="3"/>
  <c r="Y320" i="3"/>
  <c r="Z320" i="3"/>
  <c r="Z250" i="3"/>
  <c r="Y250" i="3"/>
  <c r="Y147" i="3"/>
  <c r="Z147" i="3"/>
  <c r="Z212" i="3"/>
  <c r="Y212" i="3"/>
  <c r="Y66" i="3"/>
  <c r="Z66" i="3"/>
  <c r="Y5" i="3"/>
  <c r="Z5" i="3"/>
  <c r="Y71" i="3"/>
  <c r="Z71" i="3"/>
  <c r="Y68" i="3"/>
  <c r="Z68" i="3"/>
  <c r="Z164" i="3"/>
  <c r="Y164" i="3"/>
  <c r="Z295" i="3"/>
  <c r="Y295" i="3"/>
  <c r="Z88" i="3"/>
  <c r="Y88" i="3"/>
  <c r="Z58" i="3"/>
  <c r="Y58" i="3"/>
  <c r="Z287" i="3"/>
  <c r="Y287" i="3"/>
  <c r="Z310" i="3"/>
  <c r="Y310" i="3"/>
  <c r="Z200" i="3"/>
  <c r="Y200" i="3"/>
  <c r="Z249" i="3"/>
  <c r="Y249" i="3"/>
  <c r="Z270" i="3"/>
  <c r="Y270" i="3"/>
  <c r="Z350" i="3"/>
  <c r="Y350" i="3"/>
  <c r="Z35" i="3"/>
  <c r="Y35" i="3"/>
  <c r="Y187" i="3"/>
  <c r="Z187" i="3"/>
  <c r="Y129" i="3"/>
  <c r="Z129" i="3"/>
  <c r="Z342" i="3"/>
  <c r="Y342" i="3"/>
  <c r="Z127" i="3"/>
  <c r="Y127" i="3"/>
  <c r="Z332" i="3"/>
  <c r="Y332" i="3"/>
  <c r="Z20" i="3"/>
  <c r="Y20" i="3"/>
  <c r="Z311" i="3"/>
  <c r="Y311" i="3"/>
  <c r="Z161" i="3"/>
  <c r="Y161" i="3"/>
  <c r="Z341" i="3"/>
  <c r="Y341" i="3"/>
  <c r="Y160" i="3"/>
  <c r="Z160" i="3"/>
  <c r="Y318" i="3"/>
  <c r="Z318" i="3"/>
  <c r="Z105" i="3"/>
  <c r="Y105" i="3"/>
  <c r="Y128" i="3"/>
  <c r="Z128" i="3"/>
  <c r="Y140" i="3"/>
  <c r="Z140" i="3"/>
  <c r="Z314" i="3"/>
  <c r="Y314" i="3"/>
  <c r="Z286" i="3"/>
  <c r="Y286" i="3"/>
  <c r="Y169" i="3"/>
  <c r="Z169" i="3"/>
  <c r="Y277" i="3"/>
  <c r="Z277" i="3"/>
  <c r="Z186" i="3"/>
  <c r="Y186" i="3"/>
  <c r="Z283" i="3"/>
  <c r="Y283" i="3"/>
  <c r="Y106" i="3"/>
  <c r="Z106" i="3"/>
  <c r="Z21" i="3"/>
  <c r="Y21" i="3"/>
  <c r="Z247" i="3"/>
  <c r="Y247" i="3"/>
  <c r="Y130" i="3"/>
  <c r="Z130" i="3"/>
  <c r="Y64" i="3"/>
  <c r="Z64" i="3"/>
  <c r="Y3" i="3"/>
  <c r="Z3" i="3"/>
  <c r="Z61" i="3"/>
  <c r="Y61" i="3"/>
  <c r="Z63" i="3"/>
  <c r="Y63" i="3"/>
  <c r="Z145" i="3"/>
  <c r="Y145" i="3"/>
  <c r="Z271" i="3"/>
  <c r="Y271" i="3"/>
  <c r="Z81" i="3"/>
  <c r="Y81" i="3"/>
  <c r="Y44" i="3"/>
  <c r="Z44" i="3"/>
  <c r="Y278" i="3"/>
  <c r="Z278" i="3"/>
  <c r="Z219" i="3"/>
  <c r="Y219" i="3"/>
  <c r="Z99" i="3"/>
  <c r="Y99" i="3"/>
  <c r="Y138" i="3"/>
  <c r="Z138" i="3"/>
  <c r="Z230" i="3"/>
  <c r="Y230" i="3"/>
  <c r="Z325" i="3"/>
  <c r="Y325" i="3"/>
  <c r="Z33" i="3"/>
  <c r="Y33" i="3"/>
  <c r="Y206" i="3"/>
  <c r="Z206" i="3"/>
  <c r="Z293" i="3"/>
  <c r="Y293" i="3"/>
  <c r="Y157" i="3"/>
  <c r="Z157" i="3"/>
  <c r="Z49" i="3"/>
  <c r="Y49" i="3"/>
  <c r="Y55" i="3"/>
  <c r="Z55" i="3"/>
  <c r="Z146" i="3"/>
  <c r="Y146" i="3"/>
  <c r="Z273" i="3"/>
  <c r="Y273" i="3"/>
  <c r="Y142" i="3"/>
  <c r="Z142" i="3"/>
  <c r="Z218" i="3"/>
  <c r="Y218" i="3"/>
  <c r="Z327" i="3"/>
  <c r="Y327" i="3"/>
  <c r="Z199" i="3"/>
  <c r="Y199" i="3"/>
  <c r="Z288" i="3"/>
  <c r="Y288" i="3"/>
  <c r="Z333" i="3"/>
  <c r="Y333" i="3"/>
  <c r="Y171" i="3"/>
  <c r="Z171" i="3"/>
  <c r="Y239" i="3"/>
  <c r="Z239" i="3"/>
  <c r="Y313" i="3"/>
  <c r="Z313" i="3"/>
  <c r="Z152" i="3"/>
  <c r="Y152" i="3"/>
  <c r="Y188" i="3"/>
  <c r="Z188" i="3"/>
  <c r="Y245" i="3"/>
  <c r="Z245" i="3"/>
  <c r="Z298" i="3"/>
  <c r="Y298" i="3"/>
  <c r="Y267" i="3"/>
  <c r="Z267" i="3"/>
  <c r="Z104" i="3"/>
  <c r="Y104" i="3"/>
  <c r="Z52" i="3"/>
  <c r="Y52" i="3"/>
  <c r="Z16" i="3"/>
  <c r="Y16" i="3"/>
  <c r="Y302" i="3"/>
  <c r="Z302" i="3"/>
  <c r="Y244" i="3"/>
  <c r="Z244" i="3"/>
  <c r="Y112" i="3"/>
  <c r="Z112" i="3"/>
  <c r="Y195" i="3"/>
  <c r="Z195" i="3"/>
  <c r="Z47" i="3"/>
  <c r="Y47" i="3"/>
  <c r="Z291" i="3"/>
  <c r="Y291" i="3"/>
  <c r="Z51" i="3"/>
  <c r="Y51" i="3"/>
  <c r="Z149" i="3"/>
  <c r="Y149" i="3"/>
  <c r="Y136" i="3"/>
  <c r="Z136" i="3"/>
  <c r="Z268" i="3"/>
  <c r="Y268" i="3"/>
  <c r="Y79" i="3"/>
  <c r="Z79" i="3"/>
  <c r="Y32" i="3"/>
  <c r="Z32" i="3"/>
  <c r="Z238" i="3"/>
  <c r="Y238" i="3"/>
  <c r="Z211" i="3"/>
  <c r="Y211" i="3"/>
  <c r="Z89" i="3"/>
  <c r="Y89" i="3"/>
  <c r="Z132" i="3"/>
  <c r="Y132" i="3"/>
  <c r="Z133" i="3"/>
  <c r="Y133" i="3"/>
  <c r="Z168" i="3"/>
  <c r="Y168" i="3"/>
  <c r="Z274" i="3"/>
  <c r="Y274" i="3"/>
  <c r="Z225" i="3"/>
  <c r="Y225" i="3"/>
  <c r="Z259" i="3"/>
  <c r="Y259" i="3"/>
  <c r="Z148" i="3"/>
  <c r="Y148" i="3"/>
  <c r="Z45" i="3"/>
  <c r="Y45" i="3"/>
  <c r="Y75" i="3"/>
  <c r="Z75" i="3"/>
  <c r="Y153" i="3"/>
  <c r="Z153" i="3"/>
  <c r="Z276" i="3"/>
  <c r="Y276" i="3"/>
  <c r="Z151" i="3"/>
  <c r="Y151" i="3"/>
  <c r="Y229" i="3"/>
  <c r="Z229" i="3"/>
  <c r="Y329" i="3"/>
  <c r="Z329" i="3"/>
  <c r="Z201" i="3"/>
  <c r="Y201" i="3"/>
  <c r="Z290" i="3"/>
  <c r="Y290" i="3"/>
  <c r="Z335" i="3"/>
  <c r="Y335" i="3"/>
  <c r="Y173" i="3"/>
  <c r="Z173" i="3"/>
  <c r="Y241" i="3"/>
  <c r="Z241" i="3"/>
  <c r="Y315" i="3"/>
  <c r="Z315" i="3"/>
  <c r="Y154" i="3"/>
  <c r="Z154" i="3"/>
  <c r="Z190" i="3"/>
  <c r="Y190" i="3"/>
  <c r="Z260" i="3"/>
  <c r="Y260" i="3"/>
  <c r="Y317" i="3"/>
  <c r="Z317" i="3"/>
  <c r="Y159" i="3"/>
  <c r="Z159" i="3"/>
  <c r="Y96" i="3"/>
  <c r="Z96" i="3"/>
  <c r="Z50" i="3"/>
  <c r="Y50" i="3"/>
  <c r="Z9" i="3"/>
  <c r="Y9" i="3"/>
  <c r="Y285" i="3"/>
  <c r="Z285" i="3"/>
  <c r="Y234" i="3"/>
  <c r="Z234" i="3"/>
  <c r="Y108" i="3"/>
  <c r="Z108" i="3"/>
  <c r="Y155" i="3"/>
  <c r="Z155" i="3"/>
  <c r="Y30" i="3"/>
  <c r="Z30" i="3"/>
  <c r="Z170" i="3"/>
  <c r="Y170" i="3"/>
  <c r="Z36" i="3"/>
  <c r="Y36" i="3"/>
  <c r="Z87" i="3"/>
  <c r="Y87" i="3"/>
  <c r="Z92" i="3"/>
  <c r="Y92" i="3"/>
  <c r="Z162" i="3"/>
  <c r="Y162" i="3"/>
  <c r="Z74" i="3"/>
  <c r="Y74" i="3"/>
  <c r="Z19" i="3"/>
  <c r="Y19" i="3"/>
  <c r="Z223" i="3"/>
  <c r="Y223" i="3"/>
  <c r="Z97" i="3"/>
  <c r="Y97" i="3"/>
  <c r="Y85" i="3"/>
  <c r="Z85" i="3"/>
  <c r="Z123" i="3"/>
  <c r="Y123" i="3"/>
  <c r="Z124" i="3"/>
  <c r="Y124" i="3"/>
  <c r="Z102" i="3"/>
  <c r="Y102" i="3"/>
  <c r="Z221" i="3"/>
  <c r="Y221" i="3"/>
  <c r="Z232" i="3"/>
  <c r="Y232" i="3"/>
  <c r="Z31" i="3"/>
  <c r="Y31" i="3"/>
  <c r="Z214" i="3"/>
  <c r="Y214" i="3"/>
  <c r="Z95" i="3"/>
  <c r="Y95" i="3"/>
  <c r="Y193" i="3"/>
  <c r="Z193" i="3"/>
  <c r="Z246" i="3"/>
  <c r="Y246" i="3"/>
  <c r="Y205" i="3"/>
  <c r="Z205" i="3"/>
  <c r="Z207" i="3"/>
  <c r="Y207" i="3"/>
  <c r="Y176" i="3"/>
  <c r="Z176" i="3"/>
  <c r="Y48" i="3"/>
  <c r="Z48" i="3"/>
  <c r="Z255" i="3"/>
  <c r="Y255" i="3"/>
  <c r="Y213" i="3"/>
  <c r="Z213" i="3"/>
  <c r="Z197" i="3"/>
  <c r="Y197" i="3"/>
  <c r="Z322" i="3"/>
  <c r="Y322" i="3"/>
  <c r="Y237" i="3"/>
  <c r="Z237" i="3"/>
  <c r="Z143" i="3"/>
  <c r="Y143" i="3"/>
  <c r="Z228" i="3"/>
  <c r="Y228" i="3"/>
  <c r="Z297" i="3"/>
  <c r="Y297" i="3"/>
  <c r="Y54" i="3"/>
  <c r="Z54" i="3"/>
  <c r="Z308" i="3"/>
  <c r="Y308" i="3"/>
  <c r="Z202" i="3"/>
  <c r="Y202" i="3"/>
  <c r="Z235" i="3"/>
  <c r="Y235" i="3"/>
  <c r="Z131" i="3"/>
  <c r="Y131" i="3"/>
  <c r="Z38" i="3"/>
  <c r="Y38" i="3"/>
  <c r="Y77" i="3"/>
  <c r="Z77" i="3"/>
  <c r="Z163" i="3"/>
  <c r="Y163" i="3"/>
  <c r="Y284" i="3"/>
  <c r="Z284" i="3"/>
  <c r="Z166" i="3"/>
  <c r="Y166" i="3"/>
  <c r="Z236" i="3"/>
  <c r="Y236" i="3"/>
  <c r="Y331" i="3"/>
  <c r="Z331" i="3"/>
  <c r="Z210" i="3"/>
  <c r="Y210" i="3"/>
  <c r="Z292" i="3"/>
  <c r="Y292" i="3"/>
  <c r="Z337" i="3"/>
  <c r="Y337" i="3"/>
  <c r="Y182" i="3"/>
  <c r="Z182" i="3"/>
  <c r="Y243" i="3"/>
  <c r="Z243" i="3"/>
  <c r="Y326" i="3"/>
  <c r="Z326" i="3"/>
  <c r="Y156" i="3"/>
  <c r="Z156" i="3"/>
  <c r="Z192" i="3"/>
  <c r="Y192" i="3"/>
  <c r="Y262" i="3"/>
  <c r="Z262" i="3"/>
  <c r="Z319" i="3"/>
  <c r="Y319" i="3"/>
  <c r="Y139" i="3"/>
  <c r="Z139" i="3"/>
  <c r="Z94" i="3"/>
  <c r="Y94" i="3"/>
  <c r="Y46" i="3"/>
  <c r="Z46" i="3"/>
  <c r="Z348" i="3"/>
  <c r="Y348" i="3"/>
  <c r="Y282" i="3"/>
  <c r="Z282" i="3"/>
  <c r="Z216" i="3"/>
  <c r="Y216" i="3"/>
  <c r="Z67" i="3"/>
  <c r="Y67" i="3"/>
  <c r="Y115" i="3"/>
  <c r="Z115" i="3"/>
  <c r="Z26" i="3"/>
  <c r="Y26" i="3"/>
  <c r="Y150" i="3"/>
  <c r="Z150" i="3"/>
  <c r="Z215" i="3"/>
  <c r="Y215" i="3"/>
  <c r="Z60" i="3"/>
  <c r="Y60" i="3"/>
  <c r="Z12" i="3"/>
  <c r="Y12" i="3"/>
  <c r="Z134" i="3"/>
  <c r="Y134" i="3"/>
  <c r="Z11" i="3"/>
  <c r="Y11" i="3"/>
  <c r="Z15" i="3"/>
  <c r="Y15" i="3"/>
  <c r="Z121" i="3"/>
  <c r="Y121" i="3"/>
  <c r="Y29" i="3"/>
  <c r="Z29" i="3"/>
  <c r="Y82" i="3"/>
  <c r="Z82" i="3"/>
  <c r="Z100" i="3"/>
  <c r="Y100" i="3"/>
  <c r="Z65" i="3"/>
  <c r="Y65" i="3"/>
  <c r="Z59" i="3"/>
  <c r="Y59" i="3"/>
  <c r="Z272" i="3"/>
  <c r="Y272" i="3"/>
  <c r="Y280" i="3"/>
  <c r="Z280" i="3"/>
  <c r="P352" i="3"/>
  <c r="Q352" i="3" s="1"/>
  <c r="P344" i="3"/>
  <c r="Q344" i="3" s="1"/>
  <c r="P336" i="3"/>
  <c r="Q336" i="3" s="1"/>
  <c r="P328" i="3"/>
  <c r="Q328" i="3" s="1"/>
  <c r="P320" i="3"/>
  <c r="Q320" i="3" s="1"/>
  <c r="P312" i="3"/>
  <c r="Q312" i="3" s="1"/>
  <c r="P304" i="3"/>
  <c r="Q304" i="3" s="1"/>
  <c r="P296" i="3"/>
  <c r="Q296" i="3" s="1"/>
  <c r="P288" i="3"/>
  <c r="Q288" i="3" s="1"/>
  <c r="P280" i="3"/>
  <c r="Q280" i="3" s="1"/>
  <c r="P272" i="3"/>
  <c r="Q272" i="3" s="1"/>
  <c r="P264" i="3"/>
  <c r="Q264" i="3" s="1"/>
  <c r="P256" i="3"/>
  <c r="Q256" i="3" s="1"/>
  <c r="P248" i="3"/>
  <c r="Q248" i="3" s="1"/>
  <c r="P240" i="3"/>
  <c r="Q240" i="3" s="1"/>
  <c r="P232" i="3"/>
  <c r="Q232" i="3" s="1"/>
  <c r="P224" i="3"/>
  <c r="Q224" i="3" s="1"/>
  <c r="P216" i="3"/>
  <c r="Q216" i="3" s="1"/>
  <c r="P208" i="3"/>
  <c r="Q208" i="3" s="1"/>
  <c r="P200" i="3"/>
  <c r="Q200" i="3" s="1"/>
  <c r="P192" i="3"/>
  <c r="Q192" i="3" s="1"/>
  <c r="P184" i="3"/>
  <c r="Q184" i="3" s="1"/>
  <c r="P176" i="3"/>
  <c r="Q176" i="3" s="1"/>
  <c r="P168" i="3"/>
  <c r="Q168" i="3" s="1"/>
  <c r="P160" i="3"/>
  <c r="Q160" i="3" s="1"/>
  <c r="P152" i="3"/>
  <c r="Q152" i="3" s="1"/>
  <c r="P345" i="3"/>
  <c r="Q345" i="3" s="1"/>
  <c r="P337" i="3"/>
  <c r="Q337" i="3" s="1"/>
  <c r="P329" i="3"/>
  <c r="Q329" i="3" s="1"/>
  <c r="P321" i="3"/>
  <c r="Q321" i="3" s="1"/>
  <c r="P313" i="3"/>
  <c r="Q313" i="3" s="1"/>
  <c r="P305" i="3"/>
  <c r="Q305" i="3" s="1"/>
  <c r="P297" i="3"/>
  <c r="Q297" i="3" s="1"/>
  <c r="P289" i="3"/>
  <c r="Q289" i="3" s="1"/>
  <c r="P281" i="3"/>
  <c r="Q281" i="3" s="1"/>
  <c r="P273" i="3"/>
  <c r="Q273" i="3" s="1"/>
  <c r="P265" i="3"/>
  <c r="Q265" i="3" s="1"/>
  <c r="P257" i="3"/>
  <c r="Q257" i="3" s="1"/>
  <c r="P249" i="3"/>
  <c r="Q249" i="3" s="1"/>
  <c r="P241" i="3"/>
  <c r="Q241" i="3" s="1"/>
  <c r="P233" i="3"/>
  <c r="Q233" i="3" s="1"/>
  <c r="P225" i="3"/>
  <c r="Q225" i="3" s="1"/>
  <c r="P217" i="3"/>
  <c r="Q217" i="3" s="1"/>
  <c r="P209" i="3"/>
  <c r="Q209" i="3" s="1"/>
  <c r="P201" i="3"/>
  <c r="Q201" i="3" s="1"/>
  <c r="P193" i="3"/>
  <c r="Q193" i="3" s="1"/>
  <c r="P185" i="3"/>
  <c r="Q185" i="3" s="1"/>
  <c r="P177" i="3"/>
  <c r="Q177" i="3" s="1"/>
  <c r="P169" i="3"/>
  <c r="Q169" i="3" s="1"/>
  <c r="P161" i="3"/>
  <c r="Q161" i="3" s="1"/>
  <c r="P153" i="3"/>
  <c r="Q153" i="3" s="1"/>
  <c r="P348" i="3"/>
  <c r="Q348" i="3" s="1"/>
  <c r="P340" i="3"/>
  <c r="Q340" i="3" s="1"/>
  <c r="P332" i="3"/>
  <c r="Q332" i="3" s="1"/>
  <c r="P324" i="3"/>
  <c r="Q324" i="3" s="1"/>
  <c r="P316" i="3"/>
  <c r="Q316" i="3" s="1"/>
  <c r="P308" i="3"/>
  <c r="Q308" i="3" s="1"/>
  <c r="P300" i="3"/>
  <c r="Q300" i="3" s="1"/>
  <c r="P292" i="3"/>
  <c r="Q292" i="3" s="1"/>
  <c r="P284" i="3"/>
  <c r="Q284" i="3" s="1"/>
  <c r="P276" i="3"/>
  <c r="Q276" i="3" s="1"/>
  <c r="P268" i="3"/>
  <c r="Q268" i="3" s="1"/>
  <c r="P260" i="3"/>
  <c r="Q260" i="3" s="1"/>
  <c r="P252" i="3"/>
  <c r="Q252" i="3" s="1"/>
  <c r="P244" i="3"/>
  <c r="Q244" i="3" s="1"/>
  <c r="P236" i="3"/>
  <c r="Q236" i="3" s="1"/>
  <c r="P228" i="3"/>
  <c r="Q228" i="3" s="1"/>
  <c r="P220" i="3"/>
  <c r="Q220" i="3" s="1"/>
  <c r="P212" i="3"/>
  <c r="Q212" i="3" s="1"/>
  <c r="P204" i="3"/>
  <c r="Q204" i="3" s="1"/>
  <c r="P196" i="3"/>
  <c r="Q196" i="3" s="1"/>
  <c r="P188" i="3"/>
  <c r="Q188" i="3" s="1"/>
  <c r="P180" i="3"/>
  <c r="Q180" i="3" s="1"/>
  <c r="P172" i="3"/>
  <c r="Q172" i="3" s="1"/>
  <c r="P164" i="3"/>
  <c r="Q164" i="3" s="1"/>
  <c r="P156" i="3"/>
  <c r="Q156" i="3" s="1"/>
  <c r="P148" i="3"/>
  <c r="Q148" i="3" s="1"/>
  <c r="P140" i="3"/>
  <c r="Q140" i="3" s="1"/>
  <c r="P132" i="3"/>
  <c r="Q132" i="3" s="1"/>
  <c r="P341" i="3"/>
  <c r="Q341" i="3" s="1"/>
  <c r="P326" i="3"/>
  <c r="Q326" i="3" s="1"/>
  <c r="P322" i="3"/>
  <c r="Q322" i="3" s="1"/>
  <c r="P311" i="3"/>
  <c r="Q311" i="3" s="1"/>
  <c r="P299" i="3"/>
  <c r="Q299" i="3" s="1"/>
  <c r="P277" i="3"/>
  <c r="Q277" i="3" s="1"/>
  <c r="P262" i="3"/>
  <c r="Q262" i="3" s="1"/>
  <c r="P258" i="3"/>
  <c r="Q258" i="3" s="1"/>
  <c r="P247" i="3"/>
  <c r="Q247" i="3" s="1"/>
  <c r="P235" i="3"/>
  <c r="Q235" i="3" s="1"/>
  <c r="P213" i="3"/>
  <c r="Q213" i="3" s="1"/>
  <c r="P198" i="3"/>
  <c r="Q198" i="3" s="1"/>
  <c r="P194" i="3"/>
  <c r="Q194" i="3" s="1"/>
  <c r="P183" i="3"/>
  <c r="Q183" i="3" s="1"/>
  <c r="P171" i="3"/>
  <c r="Q171" i="3" s="1"/>
  <c r="P142" i="3"/>
  <c r="Q142" i="3" s="1"/>
  <c r="P137" i="3"/>
  <c r="Q137" i="3" s="1"/>
  <c r="P131" i="3"/>
  <c r="Q131" i="3" s="1"/>
  <c r="P125" i="3"/>
  <c r="Q125" i="3" s="1"/>
  <c r="P117" i="3"/>
  <c r="Q117" i="3" s="1"/>
  <c r="P109" i="3"/>
  <c r="Q109" i="3" s="1"/>
  <c r="P101" i="3"/>
  <c r="Q101" i="3" s="1"/>
  <c r="P93" i="3"/>
  <c r="Q93" i="3" s="1"/>
  <c r="P85" i="3"/>
  <c r="Q85" i="3" s="1"/>
  <c r="P77" i="3"/>
  <c r="Q77" i="3" s="1"/>
  <c r="P69" i="3"/>
  <c r="Q69" i="3" s="1"/>
  <c r="P61" i="3"/>
  <c r="Q61" i="3" s="1"/>
  <c r="P53" i="3"/>
  <c r="Q53" i="3" s="1"/>
  <c r="P45" i="3"/>
  <c r="Q45" i="3" s="1"/>
  <c r="P349" i="3"/>
  <c r="Q349" i="3" s="1"/>
  <c r="P334" i="3"/>
  <c r="Q334" i="3" s="1"/>
  <c r="P330" i="3"/>
  <c r="Q330" i="3" s="1"/>
  <c r="P319" i="3"/>
  <c r="Q319" i="3" s="1"/>
  <c r="P307" i="3"/>
  <c r="Q307" i="3" s="1"/>
  <c r="P285" i="3"/>
  <c r="Q285" i="3" s="1"/>
  <c r="P270" i="3"/>
  <c r="Q270" i="3" s="1"/>
  <c r="P266" i="3"/>
  <c r="Q266" i="3" s="1"/>
  <c r="P255" i="3"/>
  <c r="Q255" i="3" s="1"/>
  <c r="P243" i="3"/>
  <c r="Q243" i="3" s="1"/>
  <c r="P221" i="3"/>
  <c r="Q221" i="3" s="1"/>
  <c r="P206" i="3"/>
  <c r="Q206" i="3" s="1"/>
  <c r="P202" i="3"/>
  <c r="Q202" i="3" s="1"/>
  <c r="P191" i="3"/>
  <c r="Q191" i="3" s="1"/>
  <c r="P179" i="3"/>
  <c r="Q179" i="3" s="1"/>
  <c r="P157" i="3"/>
  <c r="Q157" i="3" s="1"/>
  <c r="P149" i="3"/>
  <c r="Q149" i="3" s="1"/>
  <c r="P143" i="3"/>
  <c r="Q143" i="3" s="1"/>
  <c r="P138" i="3"/>
  <c r="Q138" i="3" s="1"/>
  <c r="P118" i="3"/>
  <c r="Q118" i="3" s="1"/>
  <c r="P110" i="3"/>
  <c r="Q110" i="3" s="1"/>
  <c r="P102" i="3"/>
  <c r="Q102" i="3" s="1"/>
  <c r="P94" i="3"/>
  <c r="Q94" i="3" s="1"/>
  <c r="P86" i="3"/>
  <c r="Q86" i="3" s="1"/>
  <c r="P78" i="3"/>
  <c r="Q78" i="3" s="1"/>
  <c r="P70" i="3"/>
  <c r="Q70" i="3" s="1"/>
  <c r="P62" i="3"/>
  <c r="Q62" i="3" s="1"/>
  <c r="P54" i="3"/>
  <c r="Q54" i="3" s="1"/>
  <c r="P46" i="3"/>
  <c r="Q46" i="3" s="1"/>
  <c r="P343" i="3"/>
  <c r="Q343" i="3" s="1"/>
  <c r="P331" i="3"/>
  <c r="Q331" i="3" s="1"/>
  <c r="P309" i="3"/>
  <c r="Q309" i="3" s="1"/>
  <c r="P294" i="3"/>
  <c r="Q294" i="3" s="1"/>
  <c r="P290" i="3"/>
  <c r="Q290" i="3" s="1"/>
  <c r="P279" i="3"/>
  <c r="Q279" i="3" s="1"/>
  <c r="P267" i="3"/>
  <c r="Q267" i="3" s="1"/>
  <c r="P245" i="3"/>
  <c r="Q245" i="3" s="1"/>
  <c r="P230" i="3"/>
  <c r="Q230" i="3" s="1"/>
  <c r="P226" i="3"/>
  <c r="Q226" i="3" s="1"/>
  <c r="P215" i="3"/>
  <c r="Q215" i="3" s="1"/>
  <c r="P203" i="3"/>
  <c r="Q203" i="3" s="1"/>
  <c r="P181" i="3"/>
  <c r="Q181" i="3" s="1"/>
  <c r="P166" i="3"/>
  <c r="Q166" i="3" s="1"/>
  <c r="P162" i="3"/>
  <c r="Q162" i="3" s="1"/>
  <c r="P146" i="3"/>
  <c r="Q146" i="3" s="1"/>
  <c r="P128" i="3"/>
  <c r="Q128" i="3" s="1"/>
  <c r="P121" i="3"/>
  <c r="Q121" i="3" s="1"/>
  <c r="P113" i="3"/>
  <c r="Q113" i="3" s="1"/>
  <c r="P105" i="3"/>
  <c r="Q105" i="3" s="1"/>
  <c r="P97" i="3"/>
  <c r="Q97" i="3" s="1"/>
  <c r="P89" i="3"/>
  <c r="Q89" i="3" s="1"/>
  <c r="P81" i="3"/>
  <c r="Q81" i="3" s="1"/>
  <c r="P73" i="3"/>
  <c r="Q73" i="3" s="1"/>
  <c r="P65" i="3"/>
  <c r="Q65" i="3" s="1"/>
  <c r="P57" i="3"/>
  <c r="Q57" i="3" s="1"/>
  <c r="P49" i="3"/>
  <c r="Q49" i="3" s="1"/>
  <c r="P41" i="3"/>
  <c r="Q41" i="3" s="1"/>
  <c r="P33" i="3"/>
  <c r="Q33" i="3" s="1"/>
  <c r="P25" i="3"/>
  <c r="Q25" i="3" s="1"/>
  <c r="P17" i="3"/>
  <c r="Q17" i="3" s="1"/>
  <c r="P9" i="3"/>
  <c r="Q9" i="3" s="1"/>
  <c r="P302" i="3"/>
  <c r="Q302" i="3" s="1"/>
  <c r="P293" i="3"/>
  <c r="Q293" i="3" s="1"/>
  <c r="P259" i="3"/>
  <c r="Q259" i="3" s="1"/>
  <c r="P254" i="3"/>
  <c r="Q254" i="3" s="1"/>
  <c r="P251" i="3"/>
  <c r="Q251" i="3" s="1"/>
  <c r="P234" i="3"/>
  <c r="Q234" i="3" s="1"/>
  <c r="P231" i="3"/>
  <c r="Q231" i="3" s="1"/>
  <c r="P222" i="3"/>
  <c r="Q222" i="3" s="1"/>
  <c r="P219" i="3"/>
  <c r="Q219" i="3" s="1"/>
  <c r="P214" i="3"/>
  <c r="Q214" i="3" s="1"/>
  <c r="P211" i="3"/>
  <c r="Q211" i="3" s="1"/>
  <c r="P189" i="3"/>
  <c r="Q189" i="3" s="1"/>
  <c r="P186" i="3"/>
  <c r="Q186" i="3" s="1"/>
  <c r="P154" i="3"/>
  <c r="Q154" i="3" s="1"/>
  <c r="P135" i="3"/>
  <c r="Q135" i="3" s="1"/>
  <c r="P120" i="3"/>
  <c r="Q120" i="3" s="1"/>
  <c r="P98" i="3"/>
  <c r="Q98" i="3" s="1"/>
  <c r="P83" i="3"/>
  <c r="Q83" i="3" s="1"/>
  <c r="P79" i="3"/>
  <c r="Q79" i="3" s="1"/>
  <c r="P68" i="3"/>
  <c r="Q68" i="3" s="1"/>
  <c r="P56" i="3"/>
  <c r="Q56" i="3" s="1"/>
  <c r="P40" i="3"/>
  <c r="Q40" i="3" s="1"/>
  <c r="P34" i="3"/>
  <c r="Q34" i="3" s="1"/>
  <c r="P28" i="3"/>
  <c r="Q28" i="3" s="1"/>
  <c r="P23" i="3"/>
  <c r="Q23" i="3" s="1"/>
  <c r="P5" i="3"/>
  <c r="Q5" i="3" s="1"/>
  <c r="P350" i="3"/>
  <c r="Q350" i="3" s="1"/>
  <c r="P347" i="3"/>
  <c r="Q347" i="3" s="1"/>
  <c r="P342" i="3"/>
  <c r="Q342" i="3" s="1"/>
  <c r="P339" i="3"/>
  <c r="Q339" i="3" s="1"/>
  <c r="P317" i="3"/>
  <c r="Q317" i="3" s="1"/>
  <c r="P314" i="3"/>
  <c r="Q314" i="3" s="1"/>
  <c r="P282" i="3"/>
  <c r="Q282" i="3" s="1"/>
  <c r="P274" i="3"/>
  <c r="Q274" i="3" s="1"/>
  <c r="P271" i="3"/>
  <c r="Q271" i="3" s="1"/>
  <c r="P263" i="3"/>
  <c r="Q263" i="3" s="1"/>
  <c r="P223" i="3"/>
  <c r="Q223" i="3" s="1"/>
  <c r="P333" i="3"/>
  <c r="Q333" i="3" s="1"/>
  <c r="P325" i="3"/>
  <c r="Q325" i="3" s="1"/>
  <c r="P237" i="3"/>
  <c r="Q237" i="3" s="1"/>
  <c r="P175" i="3"/>
  <c r="Q175" i="3" s="1"/>
  <c r="P163" i="3"/>
  <c r="Q163" i="3" s="1"/>
  <c r="P145" i="3"/>
  <c r="Q145" i="3" s="1"/>
  <c r="P106" i="3"/>
  <c r="Q106" i="3" s="1"/>
  <c r="P91" i="3"/>
  <c r="Q91" i="3" s="1"/>
  <c r="P87" i="3"/>
  <c r="Q87" i="3" s="1"/>
  <c r="P76" i="3"/>
  <c r="Q76" i="3" s="1"/>
  <c r="P64" i="3"/>
  <c r="Q64" i="3" s="1"/>
  <c r="P29" i="3"/>
  <c r="Q29" i="3" s="1"/>
  <c r="P11" i="3"/>
  <c r="Q11" i="3" s="1"/>
  <c r="P6" i="3"/>
  <c r="Q6" i="3" s="1"/>
  <c r="P246" i="3"/>
  <c r="Q246" i="3" s="1"/>
  <c r="P351" i="3"/>
  <c r="Q351" i="3" s="1"/>
  <c r="P306" i="3"/>
  <c r="Q306" i="3" s="1"/>
  <c r="P269" i="3"/>
  <c r="Q269" i="3" s="1"/>
  <c r="P261" i="3"/>
  <c r="Q261" i="3" s="1"/>
  <c r="P173" i="3"/>
  <c r="Q173" i="3" s="1"/>
  <c r="P133" i="3"/>
  <c r="Q133" i="3" s="1"/>
  <c r="P130" i="3"/>
  <c r="Q130" i="3" s="1"/>
  <c r="P126" i="3"/>
  <c r="Q126" i="3" s="1"/>
  <c r="P115" i="3"/>
  <c r="Q115" i="3" s="1"/>
  <c r="P111" i="3"/>
  <c r="Q111" i="3" s="1"/>
  <c r="P100" i="3"/>
  <c r="Q100" i="3" s="1"/>
  <c r="P88" i="3"/>
  <c r="Q88" i="3" s="1"/>
  <c r="P66" i="3"/>
  <c r="Q66" i="3" s="1"/>
  <c r="P51" i="3"/>
  <c r="Q51" i="3" s="1"/>
  <c r="P47" i="3"/>
  <c r="Q47" i="3" s="1"/>
  <c r="P37" i="3"/>
  <c r="Q37" i="3" s="1"/>
  <c r="P19" i="3"/>
  <c r="Q19" i="3" s="1"/>
  <c r="P14" i="3"/>
  <c r="Q14" i="3" s="1"/>
  <c r="P8" i="3"/>
  <c r="Q8" i="3" s="1"/>
  <c r="P323" i="3"/>
  <c r="Q323" i="3" s="1"/>
  <c r="P318" i="3"/>
  <c r="Q318" i="3" s="1"/>
  <c r="P315" i="3"/>
  <c r="Q315" i="3" s="1"/>
  <c r="P298" i="3"/>
  <c r="Q298" i="3" s="1"/>
  <c r="P295" i="3"/>
  <c r="Q295" i="3" s="1"/>
  <c r="P286" i="3"/>
  <c r="Q286" i="3" s="1"/>
  <c r="P283" i="3"/>
  <c r="Q283" i="3" s="1"/>
  <c r="P278" i="3"/>
  <c r="Q278" i="3" s="1"/>
  <c r="P275" i="3"/>
  <c r="Q275" i="3" s="1"/>
  <c r="P253" i="3"/>
  <c r="Q253" i="3" s="1"/>
  <c r="P250" i="3"/>
  <c r="Q250" i="3" s="1"/>
  <c r="P218" i="3"/>
  <c r="Q218" i="3" s="1"/>
  <c r="P210" i="3"/>
  <c r="Q210" i="3" s="1"/>
  <c r="P207" i="3"/>
  <c r="Q207" i="3" s="1"/>
  <c r="P199" i="3"/>
  <c r="Q199" i="3" s="1"/>
  <c r="P182" i="3"/>
  <c r="Q182" i="3" s="1"/>
  <c r="P159" i="3"/>
  <c r="Q159" i="3" s="1"/>
  <c r="P150" i="3"/>
  <c r="Q150" i="3" s="1"/>
  <c r="P147" i="3"/>
  <c r="Q147" i="3" s="1"/>
  <c r="P123" i="3"/>
  <c r="Q123" i="3" s="1"/>
  <c r="P119" i="3"/>
  <c r="Q119" i="3" s="1"/>
  <c r="P108" i="3"/>
  <c r="Q108" i="3" s="1"/>
  <c r="P96" i="3"/>
  <c r="Q96" i="3" s="1"/>
  <c r="P301" i="3"/>
  <c r="Q301" i="3" s="1"/>
  <c r="P170" i="3"/>
  <c r="Q170" i="3" s="1"/>
  <c r="P158" i="3"/>
  <c r="Q158" i="3" s="1"/>
  <c r="P151" i="3"/>
  <c r="Q151" i="3" s="1"/>
  <c r="P63" i="3"/>
  <c r="Q63" i="3" s="1"/>
  <c r="P42" i="3"/>
  <c r="Q42" i="3" s="1"/>
  <c r="P39" i="3"/>
  <c r="Q39" i="3" s="1"/>
  <c r="P35" i="3"/>
  <c r="Q35" i="3" s="1"/>
  <c r="P32" i="3"/>
  <c r="Q32" i="3" s="1"/>
  <c r="P12" i="3"/>
  <c r="Q12" i="3" s="1"/>
  <c r="P43" i="3"/>
  <c r="Q43" i="3" s="1"/>
  <c r="P16" i="3"/>
  <c r="Q16" i="3" s="1"/>
  <c r="P229" i="3"/>
  <c r="Q229" i="3" s="1"/>
  <c r="P116" i="3"/>
  <c r="Q116" i="3" s="1"/>
  <c r="P67" i="3"/>
  <c r="Q67" i="3" s="1"/>
  <c r="P36" i="3"/>
  <c r="Q36" i="3" s="1"/>
  <c r="P242" i="3"/>
  <c r="Q242" i="3" s="1"/>
  <c r="P136" i="3"/>
  <c r="Q136" i="3" s="1"/>
  <c r="P60" i="3"/>
  <c r="Q60" i="3" s="1"/>
  <c r="P48" i="3"/>
  <c r="Q48" i="3" s="1"/>
  <c r="P346" i="3"/>
  <c r="Q346" i="3" s="1"/>
  <c r="P335" i="3"/>
  <c r="Q335" i="3" s="1"/>
  <c r="P310" i="3"/>
  <c r="Q310" i="3" s="1"/>
  <c r="P238" i="3"/>
  <c r="Q238" i="3" s="1"/>
  <c r="P187" i="3"/>
  <c r="Q187" i="3" s="1"/>
  <c r="P144" i="3"/>
  <c r="Q144" i="3" s="1"/>
  <c r="P139" i="3"/>
  <c r="Q139" i="3" s="1"/>
  <c r="P134" i="3"/>
  <c r="Q134" i="3" s="1"/>
  <c r="P112" i="3"/>
  <c r="Q112" i="3" s="1"/>
  <c r="P104" i="3"/>
  <c r="Q104" i="3" s="1"/>
  <c r="P99" i="3"/>
  <c r="Q99" i="3" s="1"/>
  <c r="P80" i="3"/>
  <c r="Q80" i="3" s="1"/>
  <c r="P75" i="3"/>
  <c r="Q75" i="3" s="1"/>
  <c r="P72" i="3"/>
  <c r="Q72" i="3" s="1"/>
  <c r="P55" i="3"/>
  <c r="Q55" i="3" s="1"/>
  <c r="P52" i="3"/>
  <c r="Q52" i="3" s="1"/>
  <c r="P26" i="3"/>
  <c r="Q26" i="3" s="1"/>
  <c r="P197" i="3"/>
  <c r="Q197" i="3" s="1"/>
  <c r="P129" i="3"/>
  <c r="Q129" i="3" s="1"/>
  <c r="P107" i="3"/>
  <c r="Q107" i="3" s="1"/>
  <c r="P58" i="3"/>
  <c r="Q58" i="3" s="1"/>
  <c r="P338" i="3"/>
  <c r="Q338" i="3" s="1"/>
  <c r="P190" i="3"/>
  <c r="Q190" i="3" s="1"/>
  <c r="P178" i="3"/>
  <c r="Q178" i="3" s="1"/>
  <c r="P84" i="3"/>
  <c r="Q84" i="3" s="1"/>
  <c r="P30" i="3"/>
  <c r="Q30" i="3" s="1"/>
  <c r="P20" i="3"/>
  <c r="Q20" i="3" s="1"/>
  <c r="P31" i="3"/>
  <c r="Q31" i="3" s="1"/>
  <c r="P165" i="3"/>
  <c r="Q165" i="3" s="1"/>
  <c r="P18" i="3"/>
  <c r="Q18" i="3" s="1"/>
  <c r="P239" i="3"/>
  <c r="Q239" i="3" s="1"/>
  <c r="P227" i="3"/>
  <c r="Q227" i="3" s="1"/>
  <c r="P124" i="3"/>
  <c r="Q124" i="3" s="1"/>
  <c r="P92" i="3"/>
  <c r="Q92" i="3" s="1"/>
  <c r="P59" i="3"/>
  <c r="Q59" i="3" s="1"/>
  <c r="P50" i="3"/>
  <c r="Q50" i="3" s="1"/>
  <c r="P44" i="3"/>
  <c r="Q44" i="3" s="1"/>
  <c r="P27" i="3"/>
  <c r="Q27" i="3" s="1"/>
  <c r="P24" i="3"/>
  <c r="Q24" i="3" s="1"/>
  <c r="P13" i="3"/>
  <c r="Q13" i="3" s="1"/>
  <c r="P10" i="3"/>
  <c r="Q10" i="3" s="1"/>
  <c r="P7" i="3"/>
  <c r="Q7" i="3" s="1"/>
  <c r="P3" i="3"/>
  <c r="Q3" i="3" s="1"/>
  <c r="P327" i="3"/>
  <c r="Q327" i="3" s="1"/>
  <c r="P291" i="3"/>
  <c r="Q291" i="3" s="1"/>
  <c r="P195" i="3"/>
  <c r="Q195" i="3" s="1"/>
  <c r="P174" i="3"/>
  <c r="Q174" i="3" s="1"/>
  <c r="P127" i="3"/>
  <c r="Q127" i="3" s="1"/>
  <c r="P95" i="3"/>
  <c r="Q95" i="3" s="1"/>
  <c r="P82" i="3"/>
  <c r="Q82" i="3" s="1"/>
  <c r="P21" i="3"/>
  <c r="Q21" i="3" s="1"/>
  <c r="P4" i="3"/>
  <c r="Q4" i="3" s="1"/>
  <c r="P287" i="3"/>
  <c r="Q287" i="3" s="1"/>
  <c r="P167" i="3"/>
  <c r="Q167" i="3" s="1"/>
  <c r="P155" i="3"/>
  <c r="Q155" i="3" s="1"/>
  <c r="P122" i="3"/>
  <c r="Q122" i="3" s="1"/>
  <c r="P114" i="3"/>
  <c r="Q114" i="3" s="1"/>
  <c r="P103" i="3"/>
  <c r="Q103" i="3" s="1"/>
  <c r="P90" i="3"/>
  <c r="Q90" i="3" s="1"/>
  <c r="P74" i="3"/>
  <c r="Q74" i="3" s="1"/>
  <c r="P71" i="3"/>
  <c r="Q71" i="3" s="1"/>
  <c r="P38" i="3"/>
  <c r="Q38" i="3" s="1"/>
  <c r="P303" i="3"/>
  <c r="Q303" i="3" s="1"/>
  <c r="P205" i="3"/>
  <c r="Q205" i="3" s="1"/>
  <c r="P141" i="3"/>
  <c r="Q141" i="3" s="1"/>
  <c r="P22" i="3"/>
  <c r="Q22" i="3" s="1"/>
  <c r="P15" i="3"/>
  <c r="Q15" i="3" s="1"/>
</calcChain>
</file>

<file path=xl/sharedStrings.xml><?xml version="1.0" encoding="utf-8"?>
<sst xmlns="http://schemas.openxmlformats.org/spreadsheetml/2006/main" count="1049" uniqueCount="762">
  <si>
    <t>1. Name</t>
  </si>
  <si>
    <t>2. Title</t>
  </si>
  <si>
    <t>3. Phone Number</t>
  </si>
  <si>
    <t>4. Fax Number</t>
  </si>
  <si>
    <t>5. Email Address</t>
  </si>
  <si>
    <t>Emergency Department Visits</t>
  </si>
  <si>
    <t>Non-Emergency Outpatient Visits</t>
  </si>
  <si>
    <t>Referred/Ancillary Visits</t>
  </si>
  <si>
    <t>Totals</t>
  </si>
  <si>
    <t>H. Please list below any specific payer groups included in the "Other" Category:</t>
  </si>
  <si>
    <t xml:space="preserve"> </t>
  </si>
  <si>
    <t>If you answered "Yes", please report the following amounts:</t>
  </si>
  <si>
    <t>If you answered "Yes", please complete the following:</t>
  </si>
  <si>
    <t>Row Total Revenue</t>
  </si>
  <si>
    <t>Outpatient Revenue</t>
  </si>
  <si>
    <t>Inpatient Revenue</t>
  </si>
  <si>
    <t>Please enter the number of discharges for each category, including Medicare and Medicaid discharges. The total number of discharges for each category should be equal.</t>
  </si>
  <si>
    <t>CONT_0</t>
  </si>
  <si>
    <t>TITLE_0</t>
  </si>
  <si>
    <t>PHONE_0</t>
  </si>
  <si>
    <t>FAX_0</t>
  </si>
  <si>
    <t>EMAIL_0</t>
  </si>
  <si>
    <t>BEGFY_0</t>
  </si>
  <si>
    <t>CLOSFY_0</t>
  </si>
  <si>
    <t>HDRELT_0</t>
  </si>
  <si>
    <t>BIRMED_0</t>
  </si>
  <si>
    <t>MCDCID_0</t>
  </si>
  <si>
    <t>MCDCID_1</t>
  </si>
  <si>
    <t>CIDCID_0</t>
  </si>
  <si>
    <t>CIDCID_1</t>
  </si>
  <si>
    <t>SPDCID_0</t>
  </si>
  <si>
    <t>SPDCID_1</t>
  </si>
  <si>
    <t>CCDCID_0</t>
  </si>
  <si>
    <t>CCDCID_1</t>
  </si>
  <si>
    <t>ICDCID_0</t>
  </si>
  <si>
    <t>ICDCID_1</t>
  </si>
  <si>
    <t>OSFSCID_0</t>
  </si>
  <si>
    <t>OSFSCID_1</t>
  </si>
  <si>
    <t>MCOP_0</t>
  </si>
  <si>
    <t>MCOP_1</t>
  </si>
  <si>
    <t>MCOP_2</t>
  </si>
  <si>
    <t>MDOP_0</t>
  </si>
  <si>
    <t>MDOP_1</t>
  </si>
  <si>
    <t>MDOP_2</t>
  </si>
  <si>
    <t>CIOP_0</t>
  </si>
  <si>
    <t>CIOP_1</t>
  </si>
  <si>
    <t>CIOP_2</t>
  </si>
  <si>
    <t>SPOP_0</t>
  </si>
  <si>
    <t>SPOP_1</t>
  </si>
  <si>
    <t>SPOP_2</t>
  </si>
  <si>
    <t>CCOP_0</t>
  </si>
  <si>
    <t>CCOP_1</t>
  </si>
  <si>
    <t>CCOP_2</t>
  </si>
  <si>
    <t>ICOP_0</t>
  </si>
  <si>
    <t>ICOP_1</t>
  </si>
  <si>
    <t>ICOP_2</t>
  </si>
  <si>
    <t>OSFSOP_0</t>
  </si>
  <si>
    <t>OSFSOP_1</t>
  </si>
  <si>
    <t>OSFSOP_2</t>
  </si>
  <si>
    <t>TOOP_0</t>
  </si>
  <si>
    <t>TOOP_1</t>
  </si>
  <si>
    <t>TOOP_2</t>
  </si>
  <si>
    <t>SPECED_0</t>
  </si>
  <si>
    <t>EXPLINCLOFF_0</t>
  </si>
  <si>
    <t>NOAMBCENT_0</t>
  </si>
  <si>
    <t>PCTOT_0</t>
  </si>
  <si>
    <t>SPCTOT_0</t>
  </si>
  <si>
    <t>EDADMIT_0</t>
  </si>
  <si>
    <t>TOTADM_0</t>
  </si>
  <si>
    <t>EDADMPROP_0</t>
  </si>
  <si>
    <t>MCUPC_1</t>
  </si>
  <si>
    <t>MDUPC_1</t>
  </si>
  <si>
    <t>CIUPC_1</t>
  </si>
  <si>
    <t>SPUPC_1</t>
  </si>
  <si>
    <t>CCUPC_1</t>
  </si>
  <si>
    <t>ICUPC_1</t>
  </si>
  <si>
    <t>OTUPC_1</t>
  </si>
  <si>
    <t>TUPC_1</t>
  </si>
  <si>
    <t>DUALS_0</t>
  </si>
  <si>
    <t>IGTTAXMBASE_0</t>
  </si>
  <si>
    <t>IGTMED_0</t>
  </si>
  <si>
    <t>PROVTAXMED_0</t>
  </si>
  <si>
    <t>CPEBASEMED_0</t>
  </si>
  <si>
    <t>CPEBASECERT_0</t>
  </si>
  <si>
    <t>CPEBASEPAY_0</t>
  </si>
  <si>
    <t>RECDSH_0</t>
  </si>
  <si>
    <t>MDTO_0</t>
  </si>
  <si>
    <t>GTTO_0</t>
  </si>
  <si>
    <t>PTTO_0</t>
  </si>
  <si>
    <t>RECDSHCPE_0</t>
  </si>
  <si>
    <t>CPEDSHCERT_0</t>
  </si>
  <si>
    <t>CPEDSHPAY_0</t>
  </si>
  <si>
    <t>IHSA_0</t>
  </si>
  <si>
    <t>OHSA_0</t>
  </si>
  <si>
    <t>GMEA_0</t>
  </si>
  <si>
    <t>TSMP_0</t>
  </si>
  <si>
    <t>DITP_0</t>
  </si>
  <si>
    <t>PROVTAXSUP_0</t>
  </si>
  <si>
    <t>SUPMEDPMT_0</t>
  </si>
  <si>
    <t>RECCPEUPL_0</t>
  </si>
  <si>
    <t>CPEUPLCERT_0</t>
  </si>
  <si>
    <t>CPEULPAY_0</t>
  </si>
  <si>
    <t>FEDAPPROP_0</t>
  </si>
  <si>
    <t>STATEAPP_0</t>
  </si>
  <si>
    <t>COUNTYAPP_0</t>
  </si>
  <si>
    <t>CITYAPP_0</t>
  </si>
  <si>
    <t>OTHGOVAPP_0</t>
  </si>
  <si>
    <t>TOTCC_0</t>
  </si>
  <si>
    <t>CCMEDR_0</t>
  </si>
  <si>
    <t>CCMEDA_0</t>
  </si>
  <si>
    <t>DEFCC_0</t>
  </si>
  <si>
    <t>GMEDRIPR_0</t>
  </si>
  <si>
    <t>GMEDROPR_0</t>
  </si>
  <si>
    <t>GMEDRTOT_0</t>
  </si>
  <si>
    <t>GMEDAIPR_0</t>
  </si>
  <si>
    <t>GMEDAOPR_0</t>
  </si>
  <si>
    <t>GMEDATOT_0</t>
  </si>
  <si>
    <t>GSPIPR_0</t>
  </si>
  <si>
    <t>GSPOPR_0</t>
  </si>
  <si>
    <t>GSPTOT_0</t>
  </si>
  <si>
    <t>GSPTOTOP_0</t>
  </si>
  <si>
    <t>STRC_0</t>
  </si>
  <si>
    <t>MDME_0</t>
  </si>
  <si>
    <t>MDGEM_0</t>
  </si>
  <si>
    <t>MEOS_0</t>
  </si>
  <si>
    <t>TNRPC_0</t>
  </si>
  <si>
    <t>ADMM_0</t>
  </si>
  <si>
    <t>ADMF_0</t>
  </si>
  <si>
    <t>ADMUN_0</t>
  </si>
  <si>
    <t>ADMHIS_0</t>
  </si>
  <si>
    <t>ADMNOHIS_0</t>
  </si>
  <si>
    <t>ADMAIN_0</t>
  </si>
  <si>
    <t>ADMASI_0</t>
  </si>
  <si>
    <t>ADMBL_0</t>
  </si>
  <si>
    <t>ADMNHPI_0</t>
  </si>
  <si>
    <t>ADMOTH_0</t>
  </si>
  <si>
    <t>ADMMORE_0</t>
  </si>
  <si>
    <t>AGE0_1</t>
  </si>
  <si>
    <t>AGE2_18</t>
  </si>
  <si>
    <t>AGE19_44</t>
  </si>
  <si>
    <t>AGE45_64</t>
  </si>
  <si>
    <t>AGECT_65</t>
  </si>
  <si>
    <t>AGEUNK_0</t>
  </si>
  <si>
    <t>ADMTOT_0</t>
  </si>
  <si>
    <t>MDDCID_0</t>
  </si>
  <si>
    <t>MDDCID_1</t>
  </si>
  <si>
    <t>ADMUNHIS_0</t>
  </si>
  <si>
    <t>INCLOFF_0</t>
  </si>
  <si>
    <t>ADMWH_0</t>
  </si>
  <si>
    <t>CPEREIM_0</t>
  </si>
  <si>
    <t>CPEREIM_1</t>
  </si>
  <si>
    <t>PSO_0</t>
  </si>
  <si>
    <t>CPEREIM_2</t>
  </si>
  <si>
    <t>TOTGRSSIP_0</t>
  </si>
  <si>
    <t>OTHEMEDPMT_0</t>
  </si>
  <si>
    <t>TRESPROG_0</t>
  </si>
  <si>
    <t>ADMTOT_3</t>
  </si>
  <si>
    <t>ADMTOT_1</t>
  </si>
  <si>
    <t>ADMTOT_2</t>
  </si>
  <si>
    <t>Yes</t>
  </si>
  <si>
    <t>No</t>
  </si>
  <si>
    <t>Formal</t>
  </si>
  <si>
    <t>Informal</t>
  </si>
  <si>
    <t>No Relationship</t>
  </si>
  <si>
    <r>
      <t xml:space="preserve">Unique/New Patient Count
</t>
    </r>
    <r>
      <rPr>
        <sz val="11"/>
        <color theme="1"/>
        <rFont val="Cabin"/>
        <family val="2"/>
      </rPr>
      <t>Inpatient &amp; Outpatient</t>
    </r>
  </si>
  <si>
    <t>2. Is your hospital able to differentiate commercial patients who purchased insurance
through the insurance exchanges from other commercial patients?</t>
  </si>
  <si>
    <t>Unsure</t>
  </si>
  <si>
    <t>3. Does your organization have a patient and family advisory council?</t>
  </si>
  <si>
    <t>4. Has your organization received recognition from the National Committee for Quality Assurance (NCQA) as a Patient-Centered Medical Home (PCMH)?</t>
  </si>
  <si>
    <t>If you answered 'Yes' for question 4, please provide the number of recognized medical sites for which you have obtained each level of PCMH recognition through NCQA:</t>
  </si>
  <si>
    <t>TOTAL:</t>
  </si>
  <si>
    <t>5. If possible, please report the number of patients that your hospital has helped to enroll in the following programs:</t>
  </si>
  <si>
    <r>
      <t xml:space="preserve">Column 2
</t>
    </r>
    <r>
      <rPr>
        <sz val="12"/>
        <color theme="1"/>
        <rFont val="Cabin"/>
        <family val="2"/>
      </rPr>
      <t>Total Inpatient Days</t>
    </r>
  </si>
  <si>
    <r>
      <t xml:space="preserve">
Column 1
</t>
    </r>
    <r>
      <rPr>
        <sz val="12"/>
        <color theme="1"/>
        <rFont val="Cabin"/>
        <family val="2"/>
      </rPr>
      <t>Total Discharges</t>
    </r>
  </si>
  <si>
    <r>
      <rPr>
        <b/>
        <sz val="11"/>
        <color theme="1"/>
        <rFont val="Cabin"/>
        <family val="2"/>
      </rPr>
      <t xml:space="preserve">E. Charity Care. </t>
    </r>
    <r>
      <rPr>
        <sz val="11"/>
        <color theme="1"/>
        <rFont val="Cabin"/>
        <family val="2"/>
      </rPr>
      <t xml:space="preserve"> </t>
    </r>
    <r>
      <rPr>
        <i/>
        <sz val="10"/>
        <color rgb="FF00AEEF"/>
        <rFont val="Cabin"/>
        <family val="2"/>
      </rPr>
      <t>Charity Care should be attributed
to patients adjudged to be unable to pay under your
hospital's charity care policy and should not be
included in self pay or indigent care.</t>
    </r>
  </si>
  <si>
    <r>
      <t xml:space="preserve">G. Other.  </t>
    </r>
    <r>
      <rPr>
        <i/>
        <sz val="10"/>
        <color rgb="FF00AEEF"/>
        <rFont val="Cabin"/>
        <family val="2"/>
      </rPr>
      <t>Examples of other payers include workers compensation, VA Care, Prisoner Care.</t>
    </r>
  </si>
  <si>
    <r>
      <rPr>
        <b/>
        <sz val="11"/>
        <color theme="1"/>
        <rFont val="Cabin"/>
        <family val="2"/>
      </rPr>
      <t xml:space="preserve">F. State/Local Indigent Care Program.  </t>
    </r>
    <r>
      <rPr>
        <i/>
        <sz val="10"/>
        <color rgb="FF00AEEF"/>
        <rFont val="Cabin"/>
        <family val="2"/>
      </rPr>
      <t>Indigent Care includes patients covered under a city, county, or state sponsored indigent care program, or those uninsured patients for whom you bill the city, county or state.</t>
    </r>
  </si>
  <si>
    <r>
      <t xml:space="preserve">C. Commercial Insurance. </t>
    </r>
    <r>
      <rPr>
        <i/>
        <sz val="10"/>
        <color rgb="FF00AEEF"/>
        <rFont val="Cabin"/>
        <family val="2"/>
      </rPr>
      <t>Include Blue Cross.</t>
    </r>
  </si>
  <si>
    <r>
      <t xml:space="preserve">B. Medicaid.  </t>
    </r>
    <r>
      <rPr>
        <i/>
        <sz val="10"/>
        <color rgb="FF00AEEF"/>
        <rFont val="Cabin"/>
        <family val="2"/>
      </rPr>
      <t>Include Medicaid managed care
(HMOs, PPOs, etc.) as part of Medicaid, not
commercial insurance.</t>
    </r>
  </si>
  <si>
    <r>
      <t xml:space="preserve">A. Medicare. </t>
    </r>
    <r>
      <rPr>
        <b/>
        <i/>
        <sz val="10"/>
        <color theme="1"/>
        <rFont val="Cabin"/>
        <family val="2"/>
      </rPr>
      <t xml:space="preserve"> </t>
    </r>
    <r>
      <rPr>
        <i/>
        <sz val="10"/>
        <color rgb="FF00AEEF"/>
        <rFont val="Cabin"/>
        <family val="2"/>
      </rPr>
      <t>Include Medicare managed care
(HMOs, PPOs, etc.) as part of Medicare, not
Commercial Insurance.</t>
    </r>
  </si>
  <si>
    <t>H. Please list specific groups included in the 'Other' payer category</t>
  </si>
  <si>
    <r>
      <rPr>
        <b/>
        <sz val="11"/>
        <color theme="1"/>
        <rFont val="Cabin"/>
        <family val="2"/>
      </rPr>
      <t>E. Charity Care.</t>
    </r>
    <r>
      <rPr>
        <sz val="11"/>
        <color theme="1"/>
        <rFont val="Cabin"/>
        <family val="2"/>
      </rPr>
      <t xml:space="preserve">  </t>
    </r>
    <r>
      <rPr>
        <i/>
        <sz val="10"/>
        <color rgb="FF00AEEF"/>
        <rFont val="Cabin"/>
        <family val="2"/>
      </rPr>
      <t>Charity Care utilization should be attributed to patients that are adjudged to be unable to pay under your hospital's charity care policy and should not be included as Self Pay or under State or Local Indigent Care Program.</t>
    </r>
  </si>
  <si>
    <r>
      <t xml:space="preserve">C. Commercial Insurance.  </t>
    </r>
    <r>
      <rPr>
        <i/>
        <sz val="10"/>
        <color rgb="FF00AEEF"/>
        <rFont val="Cabin"/>
        <family val="2"/>
      </rPr>
      <t>Include Blue Cross.</t>
    </r>
  </si>
  <si>
    <r>
      <t xml:space="preserve">D. Self Pay. </t>
    </r>
    <r>
      <rPr>
        <i/>
        <sz val="10"/>
        <color rgb="FF00AEEF"/>
        <rFont val="Cabin"/>
        <family val="2"/>
      </rPr>
      <t>Exclude charity care.</t>
    </r>
  </si>
  <si>
    <r>
      <t xml:space="preserve">G. Other.  </t>
    </r>
    <r>
      <rPr>
        <sz val="10"/>
        <color rgb="FF00AEEF"/>
        <rFont val="Cabin"/>
        <family val="2"/>
      </rPr>
      <t>Examples of Other payers include workers' compensation, VA Care, and prisoner care.</t>
    </r>
  </si>
  <si>
    <r>
      <rPr>
        <b/>
        <sz val="11"/>
        <color theme="1"/>
        <rFont val="Cabin"/>
        <family val="2"/>
      </rPr>
      <t>F. State/Local Indigent Care Program</t>
    </r>
    <r>
      <rPr>
        <sz val="11"/>
        <color theme="1"/>
        <rFont val="Cabin"/>
        <family val="2"/>
      </rPr>
      <t xml:space="preserve">  </t>
    </r>
    <r>
      <rPr>
        <i/>
        <sz val="10"/>
        <color rgb="FF00AEEF"/>
        <rFont val="Cabin"/>
        <family val="2"/>
      </rPr>
      <t>Indigent Care includes patients covered under a city, county, or state sponsored indigent care program, or those uninsured patients for whom you bill the city, county, or state.</t>
    </r>
  </si>
  <si>
    <r>
      <t xml:space="preserve">2. Inpatient Utilization by Payer Source
</t>
    </r>
    <r>
      <rPr>
        <i/>
        <sz val="10"/>
        <color rgb="FF00AEEF"/>
        <rFont val="Cabin"/>
        <family val="2"/>
      </rPr>
      <t xml:space="preserve">For each payer, please combine fee-for-service and managed care utilization.  For Column 1 (Discharges), please report the number of adult, pediatric, and neonatal discharges; exclude normal births. For column 2, please report the number of adult and pediatric inpatient days; do not include days provided for infants born without
complications, but do include those for their mothers.  </t>
    </r>
  </si>
  <si>
    <t>TOTALS:</t>
  </si>
  <si>
    <t>2. Does the total outpatient utilization reported in question 1 include all ambulatory visits associated with off-site ambulatory care locations that are part of your organization?</t>
  </si>
  <si>
    <t>A. If you answered 'No' to question 2 above, please explain.</t>
  </si>
  <si>
    <r>
      <t xml:space="preserve">3. How many ambulatory care locations are affiliated with your organization?  </t>
    </r>
    <r>
      <rPr>
        <i/>
        <sz val="10"/>
        <color rgb="FF00AEEF"/>
        <rFont val="Cabin"/>
        <family val="2"/>
      </rPr>
      <t>Include both on- and off-campus locations.  Also include any FQHCs and FQHC look-alikes.</t>
    </r>
  </si>
  <si>
    <t>4. How many ambulatory care locations reported in Section 5, Question 3 are:</t>
  </si>
  <si>
    <t>A. Federally Qualified Health Centers (FQHCs)?</t>
  </si>
  <si>
    <t>B. FQHC Look-Alikes?</t>
  </si>
  <si>
    <t>C. On-campus?</t>
  </si>
  <si>
    <t>D. Off-campus?</t>
  </si>
  <si>
    <t>5. How many of the non-emergency outpatient visits reported in Section 5, Question 1, Column 2 were:</t>
  </si>
  <si>
    <t>B. Specialty Care?</t>
  </si>
  <si>
    <t>C. On-Campus</t>
  </si>
  <si>
    <t>D. Off-Campus</t>
  </si>
  <si>
    <t>6. How many of your admissions were through the Emergency Department?</t>
  </si>
  <si>
    <r>
      <t xml:space="preserve">C. Commercial Insurance. </t>
    </r>
    <r>
      <rPr>
        <i/>
        <sz val="10"/>
        <color rgb="FF00AEEF"/>
        <rFont val="Cabin"/>
        <family val="2"/>
      </rPr>
      <t xml:space="preserve"> Include Blue Cross.</t>
    </r>
  </si>
  <si>
    <r>
      <t xml:space="preserve">E. Charity Care. </t>
    </r>
    <r>
      <rPr>
        <i/>
        <sz val="10"/>
        <color rgb="FF00AEEF"/>
        <rFont val="Cabin"/>
        <family val="2"/>
      </rPr>
      <t xml:space="preserve"> Charity Care should be attributed to patients adjudged to be unable to pay under your hospital's charity care policy and should not be included in self pay or indigent care.</t>
    </r>
  </si>
  <si>
    <r>
      <t xml:space="preserve">F. State/Local Indigent Care Program.  </t>
    </r>
    <r>
      <rPr>
        <i/>
        <sz val="11"/>
        <color rgb="FF00AEEF"/>
        <rFont val="Cabin"/>
        <family val="2"/>
      </rPr>
      <t>Indigent care include patients covered under a city, county, or state sponsored indigent care program, or those uninsured patients for whom you bill the city, county or state.</t>
    </r>
  </si>
  <si>
    <r>
      <rPr>
        <b/>
        <sz val="11"/>
        <color theme="1"/>
        <rFont val="Cabin"/>
        <family val="2"/>
      </rPr>
      <t>G. Other</t>
    </r>
    <r>
      <rPr>
        <sz val="11"/>
        <color theme="1"/>
        <rFont val="Cabin"/>
        <family val="2"/>
      </rPr>
      <t xml:space="preserve"> </t>
    </r>
    <r>
      <rPr>
        <i/>
        <sz val="10"/>
        <color rgb="FF00AEEF"/>
        <rFont val="Cabin"/>
        <family val="2"/>
      </rPr>
      <t>Examples of Other payers include workers' compensation, VA Care, and prisoner care.</t>
    </r>
  </si>
  <si>
    <r>
      <rPr>
        <b/>
        <sz val="12"/>
        <color rgb="FFF05333"/>
        <rFont val="Cabin"/>
        <family val="2"/>
      </rPr>
      <t xml:space="preserve">
Section 6. Unique Patient Count.
</t>
    </r>
    <r>
      <rPr>
        <i/>
        <sz val="12"/>
        <color rgb="FF00AEEF"/>
        <rFont val="Cabin"/>
        <family val="2"/>
      </rPr>
      <t>Please provide the following information for the hospital(s) included in this survey.</t>
    </r>
    <r>
      <rPr>
        <sz val="12"/>
        <color theme="1"/>
        <rFont val="Cabin"/>
        <family val="2"/>
      </rPr>
      <t xml:space="preserve">
</t>
    </r>
  </si>
  <si>
    <r>
      <rPr>
        <b/>
        <sz val="12"/>
        <color rgb="FFF05333"/>
        <rFont val="Cabin"/>
        <family val="2"/>
      </rPr>
      <t xml:space="preserve">
Section 7. Financial Characteristics
</t>
    </r>
    <r>
      <rPr>
        <i/>
        <sz val="12"/>
        <color rgb="FF00AEEF"/>
        <rFont val="Cabin"/>
        <family val="2"/>
      </rPr>
      <t>Please provide the following information for the hospital(s) included in this survey.</t>
    </r>
    <r>
      <rPr>
        <sz val="12"/>
        <color theme="1"/>
        <rFont val="Cabin"/>
        <family val="2"/>
      </rPr>
      <t xml:space="preserve">
</t>
    </r>
  </si>
  <si>
    <t>1. Did you provide intergovernmental transfers (IGTs) or provider taxes associated with base Medicaid payments (i.e., non-DSH, non-supplemental, Medicaid payments) in fiscal year
2014?</t>
  </si>
  <si>
    <t>If you answered 'Yes' , please report the following amounts:</t>
  </si>
  <si>
    <r>
      <rPr>
        <b/>
        <sz val="11"/>
        <color theme="1"/>
        <rFont val="Cabin"/>
        <family val="2"/>
      </rPr>
      <t>A. Intergovernmental Transfers relating to base Medicaid payments.</t>
    </r>
    <r>
      <rPr>
        <sz val="11"/>
        <color theme="1"/>
        <rFont val="Cabin"/>
        <family val="2"/>
      </rPr>
      <t xml:space="preserve"> </t>
    </r>
    <r>
      <rPr>
        <i/>
        <sz val="10"/>
        <color rgb="FF00AEEF"/>
        <rFont val="Cabin"/>
        <family val="2"/>
      </rPr>
      <t>Do NOT report this amount elsewhere in the Section 7 (even if your hospital usually reports transfers as expenses or adjustments to revenue).</t>
    </r>
  </si>
  <si>
    <r>
      <rPr>
        <b/>
        <sz val="11"/>
        <color theme="1"/>
        <rFont val="Cabin"/>
        <family val="2"/>
      </rPr>
      <t>If you answered "Yes", please complete the following:</t>
    </r>
    <r>
      <rPr>
        <sz val="11"/>
        <color theme="1"/>
        <rFont val="Cabin"/>
        <family val="2"/>
      </rPr>
      <t xml:space="preserve"> </t>
    </r>
    <r>
      <rPr>
        <i/>
        <sz val="10"/>
        <color rgb="FF00AEEF"/>
        <rFont val="Cabin"/>
        <family val="2"/>
      </rPr>
      <t>For California hospitals, these amounts should reflect SB1100 Medicaid DSH Payments.</t>
    </r>
  </si>
  <si>
    <r>
      <rPr>
        <b/>
        <sz val="11"/>
        <color theme="1"/>
        <rFont val="Cabin"/>
        <family val="2"/>
      </rPr>
      <t>A. Total Medicaid DSH payments before any deductions for intergovernmental transfer payments or provider taxes.</t>
    </r>
    <r>
      <rPr>
        <sz val="11"/>
        <color theme="1"/>
        <rFont val="Cabin"/>
        <family val="2"/>
      </rPr>
      <t xml:space="preserve"> </t>
    </r>
    <r>
      <rPr>
        <i/>
        <sz val="10"/>
        <color rgb="FF00AEEF"/>
        <rFont val="Cabin"/>
        <family val="2"/>
      </rPr>
      <t>This amount should include all funds, such as local subsidies, used as the non-federal share of DSH payments for Medicaid matching purposes.</t>
    </r>
  </si>
  <si>
    <r>
      <rPr>
        <b/>
        <sz val="11"/>
        <color theme="1"/>
        <rFont val="Cabin"/>
        <family val="2"/>
      </rPr>
      <t>B. Intergovernmental Transfers (relating to DSH program only).</t>
    </r>
    <r>
      <rPr>
        <sz val="11"/>
        <color theme="1"/>
        <rFont val="Cabin"/>
        <family val="2"/>
      </rPr>
      <t xml:space="preserve"> </t>
    </r>
    <r>
      <rPr>
        <i/>
        <sz val="10"/>
        <color rgb="FF00AEEF"/>
        <rFont val="Cabin"/>
        <family val="2"/>
      </rPr>
      <t>Do NOT report this amount anywhere else in the financial section (even if your hospital usually reports transfers as expenses or as adjustments to revenue).</t>
    </r>
  </si>
  <si>
    <t>C. Provider Taxes (relating to DSH program only).</t>
  </si>
  <si>
    <r>
      <rPr>
        <b/>
        <sz val="11"/>
        <color theme="1"/>
        <rFont val="Cabin"/>
        <family val="2"/>
      </rPr>
      <t>A. Total expenditures actually certified for federal match purposes.</t>
    </r>
    <r>
      <rPr>
        <sz val="11"/>
        <color theme="1"/>
        <rFont val="Cabin"/>
        <family val="2"/>
      </rPr>
      <t xml:space="preserve"> </t>
    </r>
    <r>
      <rPr>
        <i/>
        <sz val="10"/>
        <color rgb="FF00AEEF"/>
        <rFont val="Cabin"/>
        <family val="2"/>
      </rPr>
      <t>Please include 100% of cost, not just the non-Federal share.</t>
    </r>
  </si>
  <si>
    <t>1. Did you Receive supplemental Medicaid payments for any of the following in fiscal year 2014?</t>
  </si>
  <si>
    <t>D. Please list any other services for which you received supplemental Medicaid payments in fiscal year 2014.</t>
  </si>
  <si>
    <r>
      <rPr>
        <b/>
        <sz val="11"/>
        <color theme="1"/>
        <rFont val="Cabin"/>
        <family val="2"/>
      </rPr>
      <t>2. If you received supplemental Medicaid payments, please complete the following:</t>
    </r>
    <r>
      <rPr>
        <sz val="11"/>
        <color theme="1"/>
        <rFont val="Cabin"/>
        <family val="2"/>
      </rPr>
      <t xml:space="preserve">
</t>
    </r>
    <r>
      <rPr>
        <i/>
        <sz val="10"/>
        <color rgb="FF00AEEF"/>
        <rFont val="Cabin"/>
        <family val="2"/>
      </rPr>
      <t>Do not include DSH payments reported in part B. For California hospitals, the amounts reported in this question should reflect AB915, SB1732, and SB1100 Safety Net Care Pool (SNCP) funds.</t>
    </r>
  </si>
  <si>
    <r>
      <rPr>
        <b/>
        <sz val="11"/>
        <color theme="1"/>
        <rFont val="Cabin"/>
        <family val="2"/>
      </rPr>
      <t>A. Total supplemental Medicaid payments before any deductions for IGTs or provider taxes.</t>
    </r>
    <r>
      <rPr>
        <sz val="11"/>
        <color theme="1"/>
        <rFont val="Cabin"/>
        <family val="2"/>
      </rPr>
      <t xml:space="preserve"> 
</t>
    </r>
    <r>
      <rPr>
        <sz val="10"/>
        <color rgb="FF00AEEF"/>
        <rFont val="Cabin"/>
        <family val="2"/>
      </rPr>
      <t>This amount should include all funds, such as local subsidies, used as the non-federal share of supplemental Medicaid payments for Medicaid matching purposes.</t>
    </r>
  </si>
  <si>
    <t>B. Intergovernmental Transfer Payments (IGTs) relating to supplemental Medicaid payments.</t>
  </si>
  <si>
    <t>3. Did you have any certified public expenditures (CPEs) relating to supplemental Medicaid
payments in fiscal year 2014?</t>
  </si>
  <si>
    <r>
      <rPr>
        <b/>
        <sz val="11"/>
        <color rgb="FF35BDB2"/>
        <rFont val="Cabin"/>
        <family val="2"/>
      </rPr>
      <t xml:space="preserve">Part D. Appropriations. </t>
    </r>
    <r>
      <rPr>
        <sz val="11"/>
        <color rgb="FF00AEEF"/>
        <rFont val="Cabin"/>
        <family val="2"/>
      </rPr>
      <t>For questions in part D, please report the amount of any lump sum appropriations for indigent care or grants specifically for patient care purposes from government sources at the Federal, State, County, City or any other level that have not been reported as of yet in section 7 of this survey.</t>
    </r>
  </si>
  <si>
    <r>
      <t>32. Appropriations for patient care from the Federal Government.</t>
    </r>
    <r>
      <rPr>
        <sz val="11"/>
        <color theme="1"/>
        <rFont val="Cabin"/>
        <family val="2"/>
      </rPr>
      <t xml:space="preserve"> </t>
    </r>
    <r>
      <rPr>
        <sz val="10"/>
        <color rgb="FF00AEEF"/>
        <rFont val="Cabin"/>
        <family val="2"/>
      </rPr>
      <t>Exclude revenues reported earlier in this section.</t>
    </r>
  </si>
  <si>
    <r>
      <t xml:space="preserve">33. Appropriations for patient care from your State Government. </t>
    </r>
    <r>
      <rPr>
        <sz val="10"/>
        <color rgb="FF00AEEF"/>
        <rFont val="Cabin"/>
        <family val="2"/>
      </rPr>
      <t>Exclude revenues reported earlier in this section.</t>
    </r>
  </si>
  <si>
    <r>
      <t xml:space="preserve">34. Appropriations for patient care from your County Government. </t>
    </r>
    <r>
      <rPr>
        <sz val="10"/>
        <color rgb="FF00AEEF"/>
        <rFont val="Cabin"/>
        <family val="2"/>
      </rPr>
      <t>Exclude revenues reported earlier in this section.</t>
    </r>
  </si>
  <si>
    <r>
      <t xml:space="preserve">35. Appropriations for patient care from your City Government. </t>
    </r>
    <r>
      <rPr>
        <sz val="10"/>
        <color rgb="FF00AEEF"/>
        <rFont val="Cabin"/>
        <family val="2"/>
      </rPr>
      <t>Exclude revenues reported earlier in this section.</t>
    </r>
  </si>
  <si>
    <r>
      <t xml:space="preserve">36. Appropriations for patient care from any other government authority. </t>
    </r>
    <r>
      <rPr>
        <sz val="10"/>
        <color rgb="FF00AEEF"/>
        <rFont val="Cabin"/>
        <family val="2"/>
      </rPr>
      <t>Exclude revenues reported earlier in this section.</t>
    </r>
  </si>
  <si>
    <t>Of the Charity Care charges reported in part E, Question 1, what amount of those charges were for:</t>
  </si>
  <si>
    <t>2. How does your organization define Charity Care?</t>
  </si>
  <si>
    <t>C. Patients enrolled in the insurance exchanges.</t>
  </si>
  <si>
    <r>
      <rPr>
        <b/>
        <sz val="12"/>
        <color rgb="FF35BDB2"/>
        <rFont val="Cabin"/>
        <family val="2"/>
      </rPr>
      <t>Part F. Gross Patient Charges by Payer Source and Service Type.</t>
    </r>
    <r>
      <rPr>
        <sz val="11"/>
        <color theme="1"/>
        <rFont val="Cabin"/>
        <family val="2"/>
      </rPr>
      <t xml:space="preserve"> 
</t>
    </r>
    <r>
      <rPr>
        <i/>
        <sz val="11"/>
        <color rgb="FF00AEEF"/>
        <rFont val="Cabin"/>
        <family val="2"/>
      </rPr>
      <t>Please report gross charges for each payer and service</t>
    </r>
  </si>
  <si>
    <r>
      <rPr>
        <b/>
        <sz val="12"/>
        <color rgb="FF35BDB2"/>
        <rFont val="Cabin"/>
        <family val="2"/>
      </rPr>
      <t xml:space="preserve">Part E.  Charity Care. </t>
    </r>
    <r>
      <rPr>
        <sz val="11"/>
        <color theme="1"/>
        <rFont val="Cabin"/>
        <family val="2"/>
      </rPr>
      <t xml:space="preserve"> </t>
    </r>
    <r>
      <rPr>
        <i/>
        <sz val="11"/>
        <color rgb="FF00AEEF"/>
        <rFont val="Cabin"/>
        <family val="2"/>
      </rPr>
      <t>Charity Care is defined as the amount of care provided to patients who are determined to be unable to pay as a result of hospital-defined policies to offer services free of charge to individuals who meet pre-determined financial criteria.</t>
    </r>
  </si>
  <si>
    <r>
      <t xml:space="preserve">1. How would you characterize your organization's relationship with the local/county health department? 
</t>
    </r>
    <r>
      <rPr>
        <i/>
        <sz val="10"/>
        <color rgb="FF00AEEF"/>
        <rFont val="Cabin"/>
        <family val="2"/>
      </rPr>
      <t>Examples of a formal relationship with the local health department would include the hospital or health system serving as the local/county health department, having a contractual agreement with the local/county health department, or sharing personnel/resources. Examples of an informal relationship include the hospital or health system having regularly scheduled meetings or sharing information regularly.</t>
    </r>
  </si>
  <si>
    <t>EXCHANGE_0</t>
  </si>
  <si>
    <t>PFAC_0</t>
  </si>
  <si>
    <t/>
  </si>
  <si>
    <t>PCMH_0</t>
  </si>
  <si>
    <t>PCMH_1</t>
  </si>
  <si>
    <t>PCMH_2</t>
  </si>
  <si>
    <t>PCMH_3</t>
  </si>
  <si>
    <t>PCMH_TOT</t>
  </si>
  <si>
    <t>ENROLLMCD_0</t>
  </si>
  <si>
    <t>ENROLLCHIP_0</t>
  </si>
  <si>
    <t>TOTDCID_0</t>
  </si>
  <si>
    <t>TOTDCID_1</t>
  </si>
  <si>
    <t>SPECDC_0</t>
  </si>
  <si>
    <t>FQHCS_0</t>
  </si>
  <si>
    <t>FQHCS_1</t>
  </si>
  <si>
    <t>CAMPUS_0</t>
  </si>
  <si>
    <t>CAMPUS_1</t>
  </si>
  <si>
    <t>CCMEDE_0</t>
  </si>
  <si>
    <t>GCIIPR_0</t>
  </si>
  <si>
    <t>GCIOPR_0</t>
  </si>
  <si>
    <t>GCITOT_0</t>
  </si>
  <si>
    <t>GCCIPR_0</t>
  </si>
  <si>
    <t>GCCOPR_0</t>
  </si>
  <si>
    <t>GCCTOT_0</t>
  </si>
  <si>
    <t>GICIPR_0</t>
  </si>
  <si>
    <t>GICOPR_0</t>
  </si>
  <si>
    <t>GICTOT_0</t>
  </si>
  <si>
    <t>GOTHIPR_0</t>
  </si>
  <si>
    <t>GOTHOPR_0</t>
  </si>
  <si>
    <t>GOTHTOT_0</t>
  </si>
  <si>
    <r>
      <t xml:space="preserve">3. Commercial Insurance. </t>
    </r>
    <r>
      <rPr>
        <sz val="10"/>
        <color rgb="FF00AEEF"/>
        <rFont val="Cabin"/>
        <family val="2"/>
      </rPr>
      <t xml:space="preserve"> Include Blue Cross.</t>
    </r>
  </si>
  <si>
    <r>
      <t xml:space="preserve">4. Self Pay.  </t>
    </r>
    <r>
      <rPr>
        <sz val="10"/>
        <color rgb="FF00AEEF"/>
        <rFont val="Cabin"/>
        <family val="2"/>
      </rPr>
      <t>Exclude Charity Care.</t>
    </r>
  </si>
  <si>
    <r>
      <t xml:space="preserve">5. Charity Care. </t>
    </r>
    <r>
      <rPr>
        <sz val="10"/>
        <color rgb="FF00AEEF"/>
        <rFont val="Cabin"/>
        <family val="2"/>
      </rPr>
      <t xml:space="preserve"> Charity Care should be attributed to patients adjudged to be unable to pay under your hospital's charity care policy and should not be included in self pay or indigent care.</t>
    </r>
  </si>
  <si>
    <r>
      <t xml:space="preserve">6. State or Local Indigent Care Program.  </t>
    </r>
    <r>
      <rPr>
        <sz val="10"/>
        <color rgb="FF00AEEF"/>
        <rFont val="Cabin"/>
        <family val="2"/>
      </rPr>
      <t>Indigent care includes patients covered under a city, county, or state sponsored indigent care program, or those uninsured patients for whom you bill the city, county, or state.</t>
    </r>
  </si>
  <si>
    <r>
      <t xml:space="preserve">7. Other.  </t>
    </r>
    <r>
      <rPr>
        <sz val="10"/>
        <color rgb="FF00AEEF"/>
        <rFont val="Cabin"/>
        <family val="2"/>
      </rPr>
      <t>Examples of Other payers include workers' compensation, VA Care, and prisoner care.</t>
    </r>
  </si>
  <si>
    <t>Fiscal Year Dates</t>
  </si>
  <si>
    <t>Month_Selection</t>
  </si>
  <si>
    <t>Month_Code</t>
  </si>
  <si>
    <t>Day_Selection</t>
  </si>
  <si>
    <t>Day_Code</t>
  </si>
  <si>
    <t>Year_Selection</t>
  </si>
  <si>
    <t>Year_Code</t>
  </si>
  <si>
    <t>January</t>
  </si>
  <si>
    <t>February</t>
  </si>
  <si>
    <t>March</t>
  </si>
  <si>
    <t>April</t>
  </si>
  <si>
    <t>&lt;&lt;BLANK&gt;&gt;</t>
  </si>
  <si>
    <t>May</t>
  </si>
  <si>
    <t>June</t>
  </si>
  <si>
    <t>July</t>
  </si>
  <si>
    <t>August</t>
  </si>
  <si>
    <t>September</t>
  </si>
  <si>
    <t>October</t>
  </si>
  <si>
    <t>November</t>
  </si>
  <si>
    <t>December</t>
  </si>
  <si>
    <t>Health Department</t>
  </si>
  <si>
    <t>Yes/No</t>
  </si>
  <si>
    <t>Select Month</t>
  </si>
  <si>
    <t>Select Day</t>
  </si>
  <si>
    <t>Select Year</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</si>
  <si>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</si>
  <si>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</si>
  <si>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</si>
  <si>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</si>
  <si>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</si>
  <si>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</si>
  <si>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</si>
  <si>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</si>
  <si>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</si>
  <si>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</si>
  <si>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</si>
  <si>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</si>
  <si>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</si>
  <si>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</si>
  <si>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</si>
  <si>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</si>
  <si>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</si>
  <si>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</si>
  <si>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</si>
  <si>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</si>
  <si>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</si>
  <si>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</si>
  <si>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</si>
  <si>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</si>
  <si>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</si>
  <si>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</si>
  <si>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</si>
  <si>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</si>
  <si>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</si>
  <si>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</si>
  <si>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</si>
  <si>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</si>
  <si>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</si>
  <si>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</si>
  <si>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</si>
  <si>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</si>
  <si>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</si>
  <si>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</si>
  <si>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</si>
  <si>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</si>
  <si>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</si>
  <si>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</si>
  <si>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</si>
  <si>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</si>
  <si>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</si>
  <si>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</si>
  <si>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</si>
  <si>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</si>
  <si>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</si>
  <si>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</si>
  <si>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District of Columbia</t>
  </si>
  <si>
    <t>Select your State</t>
  </si>
  <si>
    <t>State_Code</t>
  </si>
  <si>
    <t>State_Selection</t>
  </si>
  <si>
    <t>Select your Organization</t>
  </si>
  <si>
    <t>CCN</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</si>
  <si>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</si>
  <si>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</si>
  <si>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</si>
  <si>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</si>
  <si>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</si>
  <si>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</si>
  <si>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</si>
  <si>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</si>
  <si>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</si>
  <si>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</si>
  <si>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</si>
  <si>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</si>
  <si>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</si>
  <si>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</si>
  <si>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</si>
  <si>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</si>
  <si>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</si>
  <si>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</si>
  <si>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</si>
  <si>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</si>
  <si>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</si>
  <si>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</si>
  <si>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</si>
  <si>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</si>
  <si>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</si>
  <si>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</si>
  <si>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</si>
  <si>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</si>
  <si>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</si>
  <si>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</si>
  <si>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</si>
  <si>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</si>
  <si>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</si>
  <si>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</si>
  <si>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</si>
  <si>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</si>
  <si>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</si>
  <si>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</si>
  <si>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</si>
  <si>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</si>
  <si>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</si>
  <si>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</si>
  <si>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</si>
  <si>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</si>
  <si>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</si>
  <si>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</si>
  <si>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</si>
  <si>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</si>
  <si>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</si>
  <si>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</si>
  <si>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</si>
  <si>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Hospital(s)</t>
  </si>
  <si>
    <t>Alameda Health System</t>
  </si>
  <si>
    <t>Alameda Hospital (Alameda)</t>
  </si>
  <si>
    <t>Fairmont Hospital (San Leandro); Highland Hospital (Oakland); John George Psychiatric Hospital (San Leandro)</t>
  </si>
  <si>
    <t>San Leandro Hospital (Oakland)</t>
  </si>
  <si>
    <t>Arrowhead Regional Medical Center</t>
  </si>
  <si>
    <t>Arrowhead Regional Medical Center (Colton)</t>
  </si>
  <si>
    <t>Banner Health</t>
  </si>
  <si>
    <t>University Medical Center Phoneix (Phoenix)</t>
  </si>
  <si>
    <t>University Medical Center Tucson (Tucson); University Medical Center South (Tucson)</t>
  </si>
  <si>
    <t>Barnabas Health</t>
  </si>
  <si>
    <t>Jersey City Medical Center (Jersey City)</t>
  </si>
  <si>
    <t>Bon Secours Hospital</t>
  </si>
  <si>
    <t>Bon Secours Hospital (Baltimore)</t>
  </si>
  <si>
    <t>Boston Medical Center</t>
  </si>
  <si>
    <t>Boston Medical Center (Boston)</t>
  </si>
  <si>
    <t>Broadlawns Medical Center</t>
  </si>
  <si>
    <t>Broadlawns Medical Center (Des Moines)</t>
  </si>
  <si>
    <t>Broward Health</t>
  </si>
  <si>
    <t>Broward Health North (Deerfield Beach)</t>
  </si>
  <si>
    <t>Broward Health Coral Springs (Coral Springs)</t>
  </si>
  <si>
    <t>Broward Health Imperial Point (Fort Lauderdale)</t>
  </si>
  <si>
    <t>Broward Health Medical Center (Fort Lauderdale); Chris Evert Children's Hospital (Fort Lauderdale)</t>
  </si>
  <si>
    <t>Cambridge Health Alliance</t>
  </si>
  <si>
    <t>The Cambridge Hospital (Cambridge); Somerville Hospital (Somerville); Whidden Memorial Hospital (Cambridge)</t>
  </si>
  <si>
    <t>Care New England Health System</t>
  </si>
  <si>
    <t>Butler Hospital (Providence)</t>
  </si>
  <si>
    <t>Kent Hospital (Warwick)</t>
  </si>
  <si>
    <t>Memorial Hospital of Rhode Island (Pawtucket)</t>
  </si>
  <si>
    <t>Women &amp; Infants Hospital (Providence)</t>
  </si>
  <si>
    <t>CaroMont</t>
  </si>
  <si>
    <t>CaroMont Health (Gastonia)</t>
  </si>
  <si>
    <t>City and County of San Francisco Department of Public Health</t>
  </si>
  <si>
    <t>Laguna Honda Hospital (San Francisco)</t>
  </si>
  <si>
    <t>San Francisco General Hospital (San Francisco)</t>
  </si>
  <si>
    <t>Contra Costa Health Services</t>
  </si>
  <si>
    <t>Contra Costa Regional Medical Center (Martinez)</t>
  </si>
  <si>
    <t>Cook County Health &amp; Hospitals System</t>
  </si>
  <si>
    <t>John H. Stroger, Jr. Hospital of Cook County (Chicago)</t>
  </si>
  <si>
    <t>Provident Hospital of Cook County (Chicago)</t>
  </si>
  <si>
    <t>Denver Health</t>
  </si>
  <si>
    <t>Denver Health (Denver)</t>
  </si>
  <si>
    <t>East Alabama Medical Center</t>
  </si>
  <si>
    <t>East Alabama Medical Center (Opelika)</t>
  </si>
  <si>
    <t>East Alabama Medical Center - Lanier (Valley)</t>
  </si>
  <si>
    <t>Einstein Healthcare Network</t>
  </si>
  <si>
    <t>Einstein Medical Center Philadelphia (Philadelphia); Einstein Medical Center at Elkins Park (Elkins Park); MossRehab (Elkins Park)</t>
  </si>
  <si>
    <t>Einstein Medical Center Montgomery (East Norriton)</t>
  </si>
  <si>
    <t>Erie County Medical Center</t>
  </si>
  <si>
    <t>Erie County Medical Center (Buffalo)</t>
  </si>
  <si>
    <t>Erlanger Health System</t>
  </si>
  <si>
    <t>Erlanger Baroness Campus (Chattanooga); Erlanger East Campus (Chattanooga); Erlanger North Campus (Chattanooga); Children's Hospital at Erlanger (Chattanooga)</t>
  </si>
  <si>
    <t>Erlanger Bledsoe Campus (Pikeville)</t>
  </si>
  <si>
    <t>Grady Health System</t>
  </si>
  <si>
    <t>Grady Memorial Hospital (Atlanta)</t>
  </si>
  <si>
    <t>Halifax Health</t>
  </si>
  <si>
    <t>Medical Center of Daytona Beach (Daytona Beach); Medical Center of Port Orange (Port Orange)</t>
  </si>
  <si>
    <t>Harris Health System</t>
  </si>
  <si>
    <t>Ben Taub General Hospital (Houston); Lyndon Baines Johnson General Hospital (Houston); Quentin Mease Hosptial (Houston)</t>
  </si>
  <si>
    <t>Health Care District of Palm Beach County</t>
  </si>
  <si>
    <t>Lakeside Medical Center (Belle Glade)</t>
  </si>
  <si>
    <t>Health and Hospitals Corporation of Marion County</t>
  </si>
  <si>
    <t>Sidney and Lois Eskenazi Hospital (Indianapolis)</t>
  </si>
  <si>
    <t>Hennepin County Medical Center</t>
  </si>
  <si>
    <t>Hennepin County Medical Center (Minneapolis)</t>
  </si>
  <si>
    <t>Henry Ford Health System</t>
  </si>
  <si>
    <t>Henry Ford Hospital (Detroit)</t>
  </si>
  <si>
    <t>Henry Ford Kingswood Hospital (Ferndale)</t>
  </si>
  <si>
    <t>Henry Ford Macomb Hospitals - Clinton Township (Clinton Township); Henry Ford Macomb Hospitals - Mount Clemens (Mount Clemens)</t>
  </si>
  <si>
    <t>Henry Ford West Bloomfield Hospital (West Bloomfield)</t>
  </si>
  <si>
    <t>Henry Ford Wyandotte Hospital (Wyandotte)</t>
  </si>
  <si>
    <t>Howard University Hospital</t>
  </si>
  <si>
    <t>Howard University Hospital (Washington)</t>
  </si>
  <si>
    <t>Hurley Medical Center</t>
  </si>
  <si>
    <t>Hurley Medical Center (Flint)</t>
  </si>
  <si>
    <t>Interim LSU Hospital</t>
  </si>
  <si>
    <t>Interim LSU Hospital (New Orleans)</t>
  </si>
  <si>
    <t>JPS Health Network</t>
  </si>
  <si>
    <t>John Peter Smith Hospital (Fort Worth); JPS Diagnostic &amp; Surgery Hospital of Arlington (Arlington); Trinity Springs Pavilion for Psychiatric Services (Fort Worth)</t>
  </si>
  <si>
    <t>Jackson Health System</t>
  </si>
  <si>
    <t>Jackson Memorial Hospital (Miami); Jackson Rehabilitation Hospital (Miami); Jackson South Community Hospital (Miami); Jackson North Medical Center (Miami); Holtz Children's Hospital (Miami)</t>
  </si>
  <si>
    <t>Kern Medical Center</t>
  </si>
  <si>
    <t>Kern Medical Center (Bakersfield)</t>
  </si>
  <si>
    <t>Lee Memorial Health System</t>
  </si>
  <si>
    <t>Lee Memorial Hospital  (Fort Myers); HealthPark Medical Center (Fort Myers); The Golisano Children's Hospital of Southwest Florida (Forth Myers); The Rehabilitation Hospital (Fort Myers)</t>
  </si>
  <si>
    <t>Cape Coral Hospital (Fort Myers)</t>
  </si>
  <si>
    <t>Gulf Coast Medical Center (Fort Myers)</t>
  </si>
  <si>
    <t>Los Angeles County Department of Health Services</t>
  </si>
  <si>
    <t>Harbor-UCLA Medical Center (Torrance)</t>
  </si>
  <si>
    <t>LAC+USC Medical Center (Los Angeles)</t>
  </si>
  <si>
    <t>Olive View-UCLA Medical Center (Sylmar)</t>
  </si>
  <si>
    <t>Rancho Los Amigos National Rehabilitation Center (Downey)</t>
  </si>
  <si>
    <t>MUSC Medical University of South Carolina</t>
  </si>
  <si>
    <t>MUSC Medical University of South Carolina - University Hospital (Charleston); The Institute of Psychiatry (Charleston); Medical University of South Carolina - Ashley River Tower (Charleston); Medical University of South Carolina - Children's Hospital (Charleston)</t>
  </si>
  <si>
    <t>Maricopa Inregrated Health System</t>
  </si>
  <si>
    <t>Maricopa Medical Center (Phoenix); Desert Vista Behavioral Health Center (Mesa)</t>
  </si>
  <si>
    <t>Memorial Healthcare System</t>
  </si>
  <si>
    <t>Memorial Regional Hospital (Hollywood); Joe DiMaggio Children's Hospital (Hollywood); Memorial Regional Hospital South (Hollywood)</t>
  </si>
  <si>
    <t>Memorial Hospital Miramar (Miramar)</t>
  </si>
  <si>
    <t>Memorial Hospital Pembroke (Pembroke Pines)</t>
  </si>
  <si>
    <t>Memorial Hospital West (Pembroke Pines)</t>
  </si>
  <si>
    <t>Nashville General Hospital at Meharry</t>
  </si>
  <si>
    <t>Nashville General Hospital at Meharry (Nashville)</t>
  </si>
  <si>
    <t>Natividad Medical Center</t>
  </si>
  <si>
    <t>Natividad Medical Center (Salinas)</t>
  </si>
  <si>
    <t>New York City Health and Hospitals Corporation</t>
  </si>
  <si>
    <t>Bellevue Hospital Center (New York)</t>
  </si>
  <si>
    <t>Coler-Goldwater Specialty Hospital &amp; Nursing Facility - Coler Campus (Roosevelt Island)</t>
  </si>
  <si>
    <t>Coler-Goldwater Specialty Hospital &amp; Nursing Facility - Goldwater Campus (Roosevelt Island)</t>
  </si>
  <si>
    <t>Coney Island Hospital (Brooklyn)</t>
  </si>
  <si>
    <t>Elmhurst Hospital Center (Elmhurst)</t>
  </si>
  <si>
    <t>Harlem Hospital Center (New York)</t>
  </si>
  <si>
    <t>Jacobi Medical Center (Bronx)</t>
  </si>
  <si>
    <t>Kings County Medical Center (Brooklyn)</t>
  </si>
  <si>
    <t>Lincoln Medical and Mental Health Center (Bronx)</t>
  </si>
  <si>
    <t>Metropolitan Hospital Center</t>
  </si>
  <si>
    <t>North Central Bronx Hospital (Bronx)</t>
  </si>
  <si>
    <t>Queens Hospital Center (Jamaica)</t>
  </si>
  <si>
    <t>Woodhull Medical and Mental Health Center (Brooklyn)</t>
  </si>
  <si>
    <t>Norwegian American Hospital</t>
  </si>
  <si>
    <t>Norwegian American Hospital (Chicago)</t>
  </si>
  <si>
    <t>NuHealth</t>
  </si>
  <si>
    <t>NuHealth (East Meadow)</t>
  </si>
  <si>
    <t>Oklahoma State University Medical Center</t>
  </si>
  <si>
    <t>Oklahoma State University Medical Center (Tulsa)</t>
  </si>
  <si>
    <t>Orlando Health</t>
  </si>
  <si>
    <t>Orlando Regional Medical Center (Orlando); Arnold Palmer Hospital for Children (Orlando); M.D. Anderson Cancer Center Orlando (Orlando), Dr. P. Phillips Hospital (Orlando); Lucerne Hospital (Orlando); South Seminole Hospital (Longwood); Winnie Palmer Hospital for Women and Babies (Orlando)</t>
  </si>
  <si>
    <t>Health Central Hospital (Ocoee)</t>
  </si>
  <si>
    <t>South Lake Hospital (Clermont)</t>
  </si>
  <si>
    <t>Parkland Health &amp; Hospital System</t>
  </si>
  <si>
    <t>Parkland Health &amp; Hospital System (Dallas)</t>
  </si>
  <si>
    <t>Presence Health</t>
  </si>
  <si>
    <t>Presence Mercy Medical Center (Aurora)</t>
  </si>
  <si>
    <t>Presence Saints Mary and Elizabeth Medical Center - St. Mary Campus (Chicago); Presence Saints Mary and Elizabeth Medical Center - St. Elizabeth Campus (Chicago)</t>
  </si>
  <si>
    <t>Region One Health</t>
  </si>
  <si>
    <t>Region One Health (Memphis)</t>
  </si>
  <si>
    <t>Regions Hospital</t>
  </si>
  <si>
    <t>Regions Hospital (Saint Paul)</t>
  </si>
  <si>
    <t>Rhode Island Hospital</t>
  </si>
  <si>
    <t>Rhode Island Hospital (Providence); Hasbro Children's Hospital (Providence)</t>
  </si>
  <si>
    <t>Riverside University Medical Center</t>
  </si>
  <si>
    <t>Riversity University Medical Center (Moreno Valley)</t>
  </si>
  <si>
    <t>SUNY - State University of New York</t>
  </si>
  <si>
    <t>Stony Brook University Medical Center (Stony Brook)</t>
  </si>
  <si>
    <t>Upstate Medical University (Syracuse); Upstate Gulisano Children's Hospital (Syracuse); Upstate University Hospital - Community Campus (Syracuse)</t>
  </si>
  <si>
    <t>Downstate Medical University (Brooklyn)</t>
  </si>
  <si>
    <t>San Joaquin General Hospital</t>
  </si>
  <si>
    <t>San Joaquin General Hospital (French Camp)</t>
  </si>
  <si>
    <t>San Mateo Medical Center</t>
  </si>
  <si>
    <t>San Mateo Medical Center (San Mateo)</t>
  </si>
  <si>
    <t>Santa Clara Valley Health &amp; Hospital System</t>
  </si>
  <si>
    <t>Santa Clara Valley Medical Center (San Jose)</t>
  </si>
  <si>
    <t>St. Luke's Health System</t>
  </si>
  <si>
    <t>St. Luke's Regional Medical Center (Boise); St. Luke's Meridian Medical Center (Meridian); St. Luke's Childrens Hospital (Boise)</t>
  </si>
  <si>
    <t>St. Luke's Elmore Medical Center (Mountain Home)</t>
  </si>
  <si>
    <t>St. Luke's Jerome (Jerome)</t>
  </si>
  <si>
    <t>St. Luke's Magic Valley Medical Center (Twin Falls)</t>
  </si>
  <si>
    <t>St. Luke's Wood River Medical Center (Ketchum)</t>
  </si>
  <si>
    <t>St. Luke's McCall Medical Center (McCall)</t>
  </si>
  <si>
    <t>Swedish Covenant Hospital</t>
  </si>
  <si>
    <t>Swedish Covenant Hospital (Chicago)</t>
  </si>
  <si>
    <t>Tampa General Hospital</t>
  </si>
  <si>
    <t>Tampa General Hospital (Tampa)</t>
  </si>
  <si>
    <t>Temple University Health System</t>
  </si>
  <si>
    <t>Temple University Hospital (Philadelphia);  Episcopal Hospital (Philadelphia)</t>
  </si>
  <si>
    <t>Jeanes Hospital (Philadelphia)</t>
  </si>
  <si>
    <t>The MetroHealth System</t>
  </si>
  <si>
    <t>MetroHealth Medical Center (Cleveland)</t>
  </si>
  <si>
    <t>The Ohio State University Wexner Medical Center</t>
  </si>
  <si>
    <t>The Ohio State University Wexner Medical Center (Columbus); Richard M. Ross Heart Hospital (Columbus); Ohio State University Harding Hospital (Columbus); Ohio State University Hospital East (Columbus)</t>
  </si>
  <si>
    <t>The University of Kansas Hospital</t>
  </si>
  <si>
    <t>The University of Kansas Hospital (Kansas City)</t>
  </si>
  <si>
    <t>The University of Texas Medical Branch</t>
  </si>
  <si>
    <t>The University of Texas Medical Brance (Galveston); Children's Hospital (Galveston); Joh Sealy Hospital (Galveston)</t>
  </si>
  <si>
    <t>Truman Medical Centers</t>
  </si>
  <si>
    <t>Truman Medical Center Hospital Hill (Kansas City)</t>
  </si>
  <si>
    <t>Truman Medical Center Lakewood</t>
  </si>
  <si>
    <t>UC Health</t>
  </si>
  <si>
    <t>University of Cincinnati Medical Center (Cincinnati)</t>
  </si>
  <si>
    <t>UK HealthCare</t>
  </si>
  <si>
    <t>UK Albert B. Chandler Hospital (Lexington); UK Good Samaritan Hospital (Lexington); Kentucky Children's Hospital (Lexington)</t>
  </si>
  <si>
    <t>UMass Memorial Health Care</t>
  </si>
  <si>
    <t>UMass Memorial Medical Center - University Campus (Worcester); UMass Memorial Medical Center - Hahnemann Campus (Worcester); UMass Memorial Medical Center - Memorial Campus (Worcester)</t>
  </si>
  <si>
    <t>Clinton Hospital (Clinton)</t>
  </si>
  <si>
    <t>HealthAlliance Hospital - Burbank Campus (Fitchburg); HealthAlliance Hospital - Leominster Campus (Leominster)</t>
  </si>
  <si>
    <t>Marlborough Hospital (Marlborough)</t>
  </si>
  <si>
    <t>UNM Health Sciences Center</t>
  </si>
  <si>
    <t>UNM Sandoval Regional Medical Center (Rio Rancho)</t>
  </si>
  <si>
    <t>UNM Hospital (Albuquerque); UNM Carrie Tingley Hospital (Albuquerque); UNM Children's Hospital (Albuquerque); UNM Children's Psychiatric Center (Albuquerque); UNM Psychiatric Center (Albuquerque)</t>
  </si>
  <si>
    <t>UT Health Northeast</t>
  </si>
  <si>
    <t>UT Health Northeast (Tyler)</t>
  </si>
  <si>
    <t>UVA Health System</t>
  </si>
  <si>
    <t>UVA Medical Center (Charlottesville)</t>
  </si>
  <si>
    <t>UVA Culpeper Hospital (Culpeper)</t>
  </si>
  <si>
    <t>UW Medicine</t>
  </si>
  <si>
    <t>Harborview Medical Center (Seattle)</t>
  </si>
  <si>
    <t>Norhtwest Hospital &amp; Medical Center (Seattle)</t>
  </si>
  <si>
    <t>UW Medical Center (Seattle)</t>
  </si>
  <si>
    <t>Valley Medical Center (Renton)</t>
  </si>
  <si>
    <t>United Medical Center</t>
  </si>
  <si>
    <t>United Medical Center (Washington)</t>
  </si>
  <si>
    <t>University Health System</t>
  </si>
  <si>
    <t>University Hospital (San Antonio)</t>
  </si>
  <si>
    <t>University Hospital</t>
  </si>
  <si>
    <t>University Hospital (Newark)</t>
  </si>
  <si>
    <t>University Medical Center of El Paso</t>
  </si>
  <si>
    <t>University Medical Center of El Paso (El Paso); El Paso Children's Hospital (El Paso)</t>
  </si>
  <si>
    <t>University Medical Center of Southern Nevada</t>
  </si>
  <si>
    <t>University Medical Center of Southern Nevada (Las Vegas); Children's Hospital of Nevada at UMC (Las Vegas)</t>
  </si>
  <si>
    <t>University of Alabama at Birmingham (UAB Health System)</t>
  </si>
  <si>
    <t>UAB Hospital (Birmingham); UAB Hospital Highlands (Birmingham); Spain Rehabilitation Center (Birmingham); Women &amp; Infants Center (Birmingham)</t>
  </si>
  <si>
    <t>UAB Callahan Eye Hospital (Birmingham)</t>
  </si>
  <si>
    <t>University of Arkansas for Medical Sciences (UAMS)</t>
  </si>
  <si>
    <t>University of Arkansas for Medical Sciences (UAMS) Medical Center (Little Rock)</t>
  </si>
  <si>
    <t>University of California</t>
  </si>
  <si>
    <t>Ronald Reagan UCLA Medical Center (Los Angeles)</t>
  </si>
  <si>
    <t>Resnick Neuropsychiatric Hospital at UCLA (Los Angeles)</t>
  </si>
  <si>
    <t>UC Davis Medical Center (Sacramento)</t>
  </si>
  <si>
    <t>UC Irvine Medical Center (Orange)</t>
  </si>
  <si>
    <t>UCSF Medical Center at Mount Zion (San Francisco); UCSF Medical Center at Parnassus (San Francisco)</t>
  </si>
  <si>
    <t>UCLA Medical Center Santa Monica (Santa Monica)</t>
  </si>
  <si>
    <t>University of Chicago Medicine</t>
  </si>
  <si>
    <t>University of Chicago Medical Center (Chicago); Bernard Mitchell Hospital (Chicago); Comer Children's Hospital (Chicago)</t>
  </si>
  <si>
    <t>University of Florida Health</t>
  </si>
  <si>
    <t>UF Health Jacksonville (Jacksonville)</t>
  </si>
  <si>
    <t>UF Health Shands at the Univesrity of Florida (Gainesville); UF Health Shands at Vista (Gainesville); UF Health Shands Pychiatric Hospital (Gainesville); UF Healht Shands Children's Hospital (Gainesville)</t>
  </si>
  <si>
    <t>University of Illinois Hospital &amp; Health Sciences System</t>
  </si>
  <si>
    <t>University of Illinois Medical Center (Chicago)</t>
  </si>
  <si>
    <t>University of Mississippi Health Care</t>
  </si>
  <si>
    <t>University of Mississippi Medical Center (Jackson); Batson Children's Hospital (Jackson); Wallace R. Conerly Critical Care Hospital (Jackson); Winfred L. Wiser Hospital for Women and Infants (Jackson)</t>
  </si>
  <si>
    <t>University of Mississippi Medical Center Grenada (Grenada)</t>
  </si>
  <si>
    <t>Homes County Hospital and Clinics (Lexington)</t>
  </si>
  <si>
    <t>University of Missouri Health Care</t>
  </si>
  <si>
    <t>University of Missouri Hospital (Columbia); Women's and Children's Hospital (Columbia); Missouri Psychiatric Center (Columbia)</t>
  </si>
  <si>
    <t>University of South Alabama Medical Center</t>
  </si>
  <si>
    <t>University of South Alabama Medical Center (Mobile)</t>
  </si>
  <si>
    <t>University of South Alabama Children's &amp; Women's Hospital (Mobile)</t>
  </si>
  <si>
    <t>University of Utah Health Care</t>
  </si>
  <si>
    <t>University of Utah Health Care (Salt Lake City)</t>
  </si>
  <si>
    <t>Ventura County Health Care Agency</t>
  </si>
  <si>
    <t>Ventura County Medical Center (Ventura)</t>
  </si>
  <si>
    <t>Virginia Commonwealth University Health System</t>
  </si>
  <si>
    <t>VCU Medical Center (Richmond); VCU Pauley Heart Center (Richmond)</t>
  </si>
  <si>
    <t>Children's Hospital of Richmond (Richmond)</t>
  </si>
  <si>
    <t>WV United Health System</t>
  </si>
  <si>
    <t>Berkeley Medical Center (Martinsburg)</t>
  </si>
  <si>
    <t>Camden Clark Medical Center (Parkersburg)</t>
  </si>
  <si>
    <t>Jefferson Medical Center (Ranson)</t>
  </si>
  <si>
    <t>Ruby Memorial Hosptial (Morgantown); Chestnut Ridge Center (Morgantown); WVU Children's Hospital (Morgantown)</t>
  </si>
  <si>
    <t>United Hospital Center (Bridgeport)</t>
  </si>
  <si>
    <t>Westchester Medical Center</t>
  </si>
  <si>
    <t>Westchester Medical Center (Valhalla)</t>
  </si>
  <si>
    <t>MidHudson Regional Hospital of Westchester Medical Center (Poughkeepsie)</t>
  </si>
  <si>
    <t>Parent</t>
  </si>
  <si>
    <t>HELPER1</t>
  </si>
  <si>
    <t>HELPER2</t>
  </si>
  <si>
    <t>HELPER3</t>
  </si>
  <si>
    <t>Org_Parent</t>
  </si>
  <si>
    <t>Parent_St_Code</t>
  </si>
  <si>
    <t>ORG_HELPER1</t>
  </si>
  <si>
    <t>ORG_HELPER2</t>
  </si>
  <si>
    <t>ORG_HELPER3</t>
  </si>
  <si>
    <t>State and Organization Selection</t>
  </si>
  <si>
    <t>ORG_Lookup</t>
  </si>
  <si>
    <t>State_Select</t>
  </si>
  <si>
    <t>Org_Select</t>
  </si>
  <si>
    <t>CCN_Lookup</t>
  </si>
  <si>
    <t>Hosp_Lookup</t>
  </si>
  <si>
    <t>_x000D_
Coler-Goldwater Specialty Hospital &amp; Nursing Facility - Coler Campus (Roosevelt Island)_x000D_
Coler-Goldwater Specialty Hospital &amp; Nursing Facility - Goldwater Campus (Roosevelt Island)_x000D_
Harlem Hospital Center (New York)_x000D_
Jacobi Medical Center (Bron</t>
  </si>
  <si>
    <t>Hospital(s) Selected</t>
  </si>
  <si>
    <r>
      <rPr>
        <b/>
        <sz val="12"/>
        <color rgb="FFF05333"/>
        <rFont val="Cabin"/>
        <family val="2"/>
      </rPr>
      <t>Section 1.  Survey Respondent Contact Information.</t>
    </r>
    <r>
      <rPr>
        <sz val="12"/>
        <color theme="1"/>
        <rFont val="Cabin"/>
        <family val="2"/>
      </rPr>
      <t xml:space="preserve">
</t>
    </r>
    <r>
      <rPr>
        <i/>
        <sz val="12"/>
        <color rgb="FF00AEEF"/>
        <rFont val="Cabin"/>
        <family val="2"/>
      </rPr>
      <t>Please provide the contact information for the primary respondent of this survey.  The primary survey respondent is the designated person at your facility who America's Essential Hospitals can contact with any questions pertaining to the responses provided in this survey.</t>
    </r>
  </si>
  <si>
    <t>For questions 3 and 4, please enter only numbers.</t>
  </si>
  <si>
    <t>1. Fiscal Year Start Date</t>
  </si>
  <si>
    <t>2. Fiscal Year End Date</t>
  </si>
  <si>
    <r>
      <t>3. Hospitals included in this survey.  Please choose your hospital or health system and select the hospitals for which you are including data in this survey.</t>
    </r>
    <r>
      <rPr>
        <b/>
        <sz val="11"/>
        <color rgb="FF00AEEF"/>
        <rFont val="Cabin"/>
        <family val="2"/>
      </rPr>
      <t xml:space="preserve">  </t>
    </r>
    <r>
      <rPr>
        <i/>
        <sz val="11"/>
        <color rgb="FF00AEEF"/>
        <rFont val="Cabin"/>
        <family val="2"/>
      </rPr>
      <t>To ensure that the correct hospitals are reported, please take a moment to review the hospital(s) selected below.</t>
    </r>
  </si>
  <si>
    <r>
      <rPr>
        <b/>
        <sz val="12"/>
        <color rgb="FFF05333"/>
        <rFont val="Cabin"/>
        <family val="2"/>
      </rPr>
      <t xml:space="preserve">
Section 3. General Information.  
</t>
    </r>
    <r>
      <rPr>
        <i/>
        <sz val="12"/>
        <color rgb="FF00AEEF"/>
        <rFont val="Cabin"/>
        <family val="2"/>
      </rPr>
      <t>This section collects information that is used for research and policy purposes.  Please provide the following information for the hospital(s) included in this survey.</t>
    </r>
    <r>
      <rPr>
        <sz val="12"/>
        <color theme="1"/>
        <rFont val="Cabin"/>
        <family val="2"/>
      </rPr>
      <t xml:space="preserve">
</t>
    </r>
  </si>
  <si>
    <t>A. Level 1.</t>
  </si>
  <si>
    <t>B. Level 2.</t>
  </si>
  <si>
    <t>C. Level 3.</t>
  </si>
  <si>
    <t>A. Medicaid.</t>
  </si>
  <si>
    <t>B. State Children's Health Insurance Program (SCHIP).</t>
  </si>
  <si>
    <r>
      <rPr>
        <b/>
        <sz val="12"/>
        <color rgb="FFF05333"/>
        <rFont val="Cabin"/>
        <family val="2"/>
      </rPr>
      <t xml:space="preserve">
Section 4. Inpatient Utilization Characteristics
</t>
    </r>
    <r>
      <rPr>
        <i/>
        <sz val="12"/>
        <color rgb="FF00AEEF"/>
        <rFont val="Cabin"/>
        <family val="2"/>
      </rPr>
      <t>In reporting utilization data, please include data associated with long term care beds and skilled nursing beds that are part of the hospital(s) in this survey.</t>
    </r>
    <r>
      <rPr>
        <sz val="12"/>
        <color theme="1"/>
        <rFont val="Cabin"/>
        <family val="2"/>
      </rPr>
      <t xml:space="preserve">
</t>
    </r>
  </si>
  <si>
    <r>
      <t xml:space="preserve">1. Total Number of births paid for by Medicaid.  </t>
    </r>
    <r>
      <rPr>
        <b/>
        <sz val="10"/>
        <color rgb="FF00AEEF"/>
        <rFont val="Cabin"/>
        <family val="2"/>
      </rPr>
      <t>(</t>
    </r>
    <r>
      <rPr>
        <sz val="10"/>
        <color rgb="FF00AEEF"/>
        <rFont val="Cabin"/>
        <family val="2"/>
      </rPr>
      <t>Please exclude fetal deaths)</t>
    </r>
  </si>
  <si>
    <r>
      <t xml:space="preserve">D. Self Pay.  </t>
    </r>
    <r>
      <rPr>
        <i/>
        <sz val="10"/>
        <color rgb="FF00AEEF"/>
        <rFont val="Cabin"/>
        <family val="2"/>
      </rPr>
      <t>Exclude Charity Care.</t>
    </r>
  </si>
  <si>
    <r>
      <t xml:space="preserve">1. Outpatient Utilization by Payer Source.
</t>
    </r>
    <r>
      <rPr>
        <sz val="10"/>
        <color rgb="FF00AEEF"/>
        <rFont val="Cabin"/>
        <family val="2"/>
      </rPr>
      <t xml:space="preserve">For </t>
    </r>
    <r>
      <rPr>
        <b/>
        <sz val="10"/>
        <color rgb="FF00AEEF"/>
        <rFont val="Cabin"/>
        <family val="2"/>
      </rPr>
      <t>Column 1</t>
    </r>
    <r>
      <rPr>
        <sz val="10"/>
        <color rgb="FF00AEEF"/>
        <rFont val="Cabin"/>
        <family val="2"/>
      </rPr>
      <t xml:space="preserve"> (Emergency Department Visits), please include all visits to the emergency department, even for those outpatients who were subsequently admitted to the inpatient areas of the hospital. 
For </t>
    </r>
    <r>
      <rPr>
        <b/>
        <sz val="10"/>
        <color rgb="FF00AEEF"/>
        <rFont val="Cabin"/>
        <family val="2"/>
      </rPr>
      <t>Column 2</t>
    </r>
    <r>
      <rPr>
        <sz val="10"/>
        <color rgb="FF00AEEF"/>
        <rFont val="Cabin"/>
        <family val="2"/>
      </rPr>
      <t xml:space="preserve"> (Non-Emergency Outpatient Visits), please include all clinic visits to a designated medical unit responsible for treating patients on an outpatient, non-emergency basis, both on the hospital campus and in neighborhood or satellite clinics. Ambulatory surgeries, which are operations performed on patients who do not remain in the hospital overnight, should also be included. If your system has public health departments and/or provides outpatient correctional care services as part of your system, please also include these visits. Also include here home health service visits where care is provided in a patient's home. Observation services, where a nurse or other staff may monitor a patient on the premises to determine if an inpatient admission is necessary should also be included. Please only include face-to-face encounters with a physician, nurse practitioner, registered nurse, or physician's assistant. If you are not able to break out face-to-face encounters, please provide your best estimate of face-to-face encounters only. Please do not include ancillary services (e.g., laboratory, diagnostic services). 
For </t>
    </r>
    <r>
      <rPr>
        <b/>
        <sz val="10"/>
        <color rgb="FF00AEEF"/>
        <rFont val="Cabin"/>
        <family val="2"/>
      </rPr>
      <t>Column 3</t>
    </r>
    <r>
      <rPr>
        <sz val="10"/>
        <color rgb="FF00AEEF"/>
        <rFont val="Cabin"/>
        <family val="2"/>
      </rPr>
      <t xml:space="preserve"> (Referred Visits/Ancillary Visits), please report the total number of outpatient ancillary visits to each specialty unit of the hospital established for providing technical aid used in the diagnosis and treatment of patients. Examples of such units are diagnostic radiology, EKG, and pharmacy. Types of services include drawing blood, collecting specimens, performing laboratory tests, taking X-rays, giving immunizations, and filling/dispensing prescriptions. Each appearance of an outpatient in each unit constitutes one visit regardless of the number of diagnostic and/or therapeutic treatments that the patient receives.</t>
    </r>
  </si>
  <si>
    <r>
      <t xml:space="preserve">A. Medicare.  </t>
    </r>
    <r>
      <rPr>
        <i/>
        <sz val="10"/>
        <color rgb="FF00AEEF"/>
        <rFont val="Cabin"/>
        <family val="2"/>
      </rPr>
      <t>Include Medicare fee-for-service and managed care (HMOs, PPOs, etc.) as part of Medicare, not Commercial Insurance.</t>
    </r>
  </si>
  <si>
    <r>
      <rPr>
        <b/>
        <sz val="11"/>
        <color theme="1"/>
        <rFont val="Cabin"/>
        <family val="2"/>
      </rPr>
      <t xml:space="preserve">B. Medicaid. </t>
    </r>
    <r>
      <rPr>
        <sz val="11"/>
        <color theme="1"/>
        <rFont val="Cabin"/>
        <family val="2"/>
      </rPr>
      <t xml:space="preserve"> </t>
    </r>
    <r>
      <rPr>
        <i/>
        <sz val="10"/>
        <color rgb="FF00AEEF"/>
        <rFont val="Cabin"/>
        <family val="2"/>
      </rPr>
      <t>Include Medicaid fee-for-service and managed care (HMOs, PPOs, etc.) as part of Medicaid, not commercial insurance.</t>
    </r>
  </si>
  <si>
    <r>
      <t>TOTAL</t>
    </r>
    <r>
      <rPr>
        <b/>
        <sz val="10"/>
        <color theme="1"/>
        <rFont val="Cabin"/>
        <family val="2"/>
      </rPr>
      <t xml:space="preserve"> </t>
    </r>
    <r>
      <rPr>
        <b/>
        <sz val="10"/>
        <color rgb="FF00AEEF"/>
        <rFont val="Cabin"/>
        <family val="2"/>
      </rPr>
      <t>(</t>
    </r>
    <r>
      <rPr>
        <sz val="10"/>
        <color rgb="FF00AEEF"/>
        <rFont val="Cabin"/>
        <family val="2"/>
      </rPr>
      <t>Should equal to Section 5, Question 3):</t>
    </r>
  </si>
  <si>
    <r>
      <t>TOTAL</t>
    </r>
    <r>
      <rPr>
        <b/>
        <sz val="11"/>
        <color rgb="FF00AEEF"/>
        <rFont val="Cabin"/>
        <family val="2"/>
      </rPr>
      <t xml:space="preserve"> (</t>
    </r>
    <r>
      <rPr>
        <sz val="11"/>
        <color rgb="FF00AEEF"/>
        <rFont val="Cabin"/>
        <family val="2"/>
      </rPr>
      <t>Should equal to Section 5, Question 3):</t>
    </r>
  </si>
  <si>
    <r>
      <rPr>
        <b/>
        <sz val="11"/>
        <color theme="1"/>
        <rFont val="Cabin"/>
        <family val="2"/>
      </rPr>
      <t>Proportion of admissions admitted through the Emergency Department.</t>
    </r>
    <r>
      <rPr>
        <sz val="11"/>
        <color theme="1"/>
        <rFont val="Cabin"/>
        <family val="2"/>
      </rPr>
      <t xml:space="preserve">
</t>
    </r>
    <r>
      <rPr>
        <i/>
        <sz val="11"/>
        <color rgb="FF00AEEF"/>
        <rFont val="Cabin"/>
        <family val="2"/>
      </rPr>
      <t>Equivalent to Question 6A divided by Question 6B, represented as a percent.</t>
    </r>
  </si>
  <si>
    <r>
      <rPr>
        <b/>
        <sz val="11"/>
        <color rgb="FF231F20"/>
        <rFont val="Cabin"/>
        <family val="2"/>
      </rPr>
      <t>26. Unique/New Patient Count by Payer Source.</t>
    </r>
    <r>
      <rPr>
        <sz val="11"/>
        <color rgb="FF231F20"/>
        <rFont val="Cabin"/>
        <family val="2"/>
      </rPr>
      <t xml:space="preserve"> </t>
    </r>
    <r>
      <rPr>
        <sz val="11"/>
        <color rgb="FF00AEEF"/>
        <rFont val="Cabin"/>
        <family val="2"/>
      </rPr>
      <t>Please indicate your overall Unique/New (unduplicated) patient count including inpatient utilization, emergency department visits, non-emergency outpatient visits, referred visits, and ancillary visits.  Exclude normal birth newborns.  This is the number of patients that are seen during the fiscal year, with each patient being counted only once. If a patient made multiple visits during the year but changed insurance status between visits count them only once, classified under the insurance status from their last visit of the year.</t>
    </r>
  </si>
  <si>
    <r>
      <t xml:space="preserve">B. Medicaid.  </t>
    </r>
    <r>
      <rPr>
        <i/>
        <sz val="10"/>
        <color rgb="FF00AEEF"/>
        <rFont val="Cabin"/>
        <family val="2"/>
      </rPr>
      <t>Include Medicaid fee-for-service and managed care (HHMOs, PPOs, etc.) as part of Medicaid, not Commercial Insurance.</t>
    </r>
  </si>
  <si>
    <r>
      <rPr>
        <b/>
        <sz val="11"/>
        <color theme="1"/>
        <rFont val="Cabin"/>
        <family val="2"/>
      </rPr>
      <t xml:space="preserve">D. Self Pay.  </t>
    </r>
    <r>
      <rPr>
        <i/>
        <sz val="10"/>
        <color rgb="FF00AEEF"/>
        <rFont val="Cabin"/>
        <family val="2"/>
      </rPr>
      <t>Exclude Charity Care.</t>
    </r>
  </si>
  <si>
    <t>2. Did you have certified public expenditures (CPEs) relating to your base Medicaid payments (i. e., non-DSH, non-supplemental Medicaid payments) for fiscal year 2014?</t>
  </si>
  <si>
    <r>
      <rPr>
        <b/>
        <sz val="11"/>
        <color theme="1"/>
        <rFont val="Cabin"/>
        <family val="2"/>
      </rPr>
      <t>A. Total expenditures actually certified for federal match purposes.</t>
    </r>
    <r>
      <rPr>
        <sz val="11"/>
        <color theme="1"/>
        <rFont val="Cabin"/>
        <family val="2"/>
      </rPr>
      <t xml:space="preserve"> </t>
    </r>
    <r>
      <rPr>
        <i/>
        <sz val="10"/>
        <color rgb="FF00AEEF"/>
        <rFont val="Cabin"/>
        <family val="2"/>
      </rPr>
      <t>Please include 100% of cost, not just the non-federal share.</t>
    </r>
  </si>
  <si>
    <r>
      <t xml:space="preserve">Total unreimbursed CPEs related to base Medicaid payments:
</t>
    </r>
    <r>
      <rPr>
        <i/>
        <sz val="11"/>
        <color rgb="FF00AEEF"/>
        <rFont val="Cabin"/>
        <family val="2"/>
      </rPr>
      <t>Equal to Question 2A - Question 2B</t>
    </r>
  </si>
  <si>
    <r>
      <rPr>
        <b/>
        <sz val="11"/>
        <color rgb="FF35BDB2"/>
        <rFont val="Cabin"/>
        <family val="2"/>
      </rPr>
      <t>Part B. Medicaid Disproportionate Share Payments (DSH)</t>
    </r>
    <r>
      <rPr>
        <sz val="11"/>
        <color theme="1"/>
        <rFont val="Cabin"/>
        <family val="2"/>
      </rPr>
      <t xml:space="preserve">
</t>
    </r>
    <r>
      <rPr>
        <sz val="11"/>
        <color rgb="FF00AEEF"/>
        <rFont val="Cabin"/>
        <family val="2"/>
      </rPr>
      <t>This section is applicable only if you provide intergovernmental transfers (IGTs), certified public expenditures (CPEs), or provider taxes associated with base Medicaid payments (i.e., non-DSH, non-supplemental Medicaid payments). 
For questions in part B, only report data related to Medicaid DSH payments. Please use the following definitions.</t>
    </r>
    <r>
      <rPr>
        <b/>
        <sz val="11"/>
        <color rgb="FF00AEEF"/>
        <rFont val="Cabin"/>
        <family val="2"/>
      </rPr>
      <t xml:space="preserve"> Intergovernmental Transfers</t>
    </r>
    <r>
      <rPr>
        <sz val="11"/>
        <color rgb="FF00AEEF"/>
        <rFont val="Cabin"/>
        <family val="2"/>
      </rPr>
      <t xml:space="preserve"> (IGTs) are amounts transferred by public providers or local governments, by you or on your behalf, to the state to draw down federal Medicaid funds in the matching process. </t>
    </r>
    <r>
      <rPr>
        <b/>
        <sz val="11"/>
        <color rgb="FF00AEEF"/>
        <rFont val="Cabin"/>
        <family val="2"/>
      </rPr>
      <t>Provider Taxes</t>
    </r>
    <r>
      <rPr>
        <sz val="11"/>
        <color rgb="FF00AEEF"/>
        <rFont val="Cabin"/>
        <family val="2"/>
      </rPr>
      <t xml:space="preserve"> are state taxes on health care providers that help finance the state share of Medicaid.  </t>
    </r>
    <r>
      <rPr>
        <b/>
        <sz val="11"/>
        <color rgb="FF00AEEF"/>
        <rFont val="Cabin"/>
        <family val="2"/>
      </rPr>
      <t xml:space="preserve">Certified Public Expenditures </t>
    </r>
    <r>
      <rPr>
        <sz val="11"/>
        <color rgb="FF00AEEF"/>
        <rFont val="Cabin"/>
        <family val="2"/>
      </rPr>
      <t>(CPEs) are certifications by public entities that they have expended funds on items and services eligible for federal match under the Medicaid program.</t>
    </r>
    <r>
      <rPr>
        <sz val="11"/>
        <rFont val="Cabin"/>
        <family val="2"/>
      </rPr>
      <t xml:space="preserve">
</t>
    </r>
  </si>
  <si>
    <t>1. Did you organization receive Medicaid DSH payments in fiscal year 2014?</t>
  </si>
  <si>
    <t>2. Did you have certified public expenditures (CPEs) relating to the DSH program in fiscal year 2014?</t>
  </si>
  <si>
    <t>B. Total payments received for CPEs related to Medicaid DSH payments.</t>
  </si>
  <si>
    <t>A. Inpatient hospital services.</t>
  </si>
  <si>
    <t>B. Outpatient hospital services.</t>
  </si>
  <si>
    <t>B. Provider Taxes relating to base Medicaid payments only.</t>
  </si>
  <si>
    <t>B. Total payments received for certified expenditures.</t>
  </si>
  <si>
    <t>C. Graduate Medical Education (GME).</t>
  </si>
  <si>
    <t>C. Provider Taxes relating to supplemental Medicaid payments.</t>
  </si>
  <si>
    <r>
      <rPr>
        <b/>
        <sz val="11"/>
        <color theme="1"/>
        <rFont val="Cabin"/>
        <family val="2"/>
      </rPr>
      <t xml:space="preserve">A. Total expenditures actually certified for federal match purposes. 
</t>
    </r>
    <r>
      <rPr>
        <i/>
        <sz val="10"/>
        <color rgb="FF00AEEF"/>
        <rFont val="Cabin"/>
        <family val="2"/>
      </rPr>
      <t>Please include 100% of cost, not just the non-federal share.</t>
    </r>
  </si>
  <si>
    <r>
      <rPr>
        <b/>
        <sz val="11"/>
        <color theme="1"/>
        <rFont val="Cabin"/>
        <family val="2"/>
      </rPr>
      <t>Total unreimbursed CPEs related to supplemental Medicaid Payments (auto-calculated):</t>
    </r>
    <r>
      <rPr>
        <sz val="11"/>
        <color theme="1"/>
        <rFont val="Cabin"/>
        <family val="2"/>
      </rPr>
      <t xml:space="preserve"> 
</t>
    </r>
    <r>
      <rPr>
        <i/>
        <sz val="10"/>
        <color rgb="FF00AEEF"/>
        <rFont val="Cabin"/>
        <family val="2"/>
      </rPr>
      <t>Equal to Question 3A minus 3B</t>
    </r>
  </si>
  <si>
    <t>1. Total Charity Care charges.</t>
  </si>
  <si>
    <t>A. Medicare patients.</t>
  </si>
  <si>
    <t>B. Medicaid patients.</t>
  </si>
  <si>
    <r>
      <t xml:space="preserve">1. Medicare.  </t>
    </r>
    <r>
      <rPr>
        <sz val="10"/>
        <color rgb="FF00AEEF"/>
        <rFont val="Cabin"/>
        <family val="2"/>
      </rPr>
      <t>Include Medicare fee-for-service and managed care (HMOs, PPOs, etc.) as part of Medicare, not Commercial Insurance.</t>
    </r>
  </si>
  <si>
    <r>
      <t xml:space="preserve">2. Medicaid.  </t>
    </r>
    <r>
      <rPr>
        <sz val="10"/>
        <color rgb="FF00AEEF"/>
        <rFont val="Cabin"/>
        <family val="2"/>
      </rPr>
      <t>Include Medicaid fee-for-service and managed care (HMOs, PPOs, etc.) as part of Medicaid, not Commercial Insurance.</t>
    </r>
  </si>
  <si>
    <t>1. Medicare Direct Medical Education (DME)</t>
  </si>
  <si>
    <t>2. Payments for medical education received from your state Medicaid program</t>
  </si>
  <si>
    <t>3. Other medical education payments</t>
  </si>
  <si>
    <t>A.  If you reported any amount for Part G, Question 3, please provide the source.</t>
  </si>
  <si>
    <r>
      <rPr>
        <b/>
        <sz val="12"/>
        <color rgb="FFF05333"/>
        <rFont val="Cabin"/>
        <family val="2"/>
      </rPr>
      <t xml:space="preserve">
</t>
    </r>
    <r>
      <rPr>
        <b/>
        <sz val="12"/>
        <color rgb="FF35BDB2"/>
        <rFont val="Cabin"/>
        <family val="2"/>
      </rPr>
      <t>Part G. Graduate Medical Education</t>
    </r>
    <r>
      <rPr>
        <b/>
        <sz val="12"/>
        <color rgb="FFF05333"/>
        <rFont val="Cabin"/>
        <family val="2"/>
      </rPr>
      <t xml:space="preserve">
</t>
    </r>
    <r>
      <rPr>
        <i/>
        <sz val="12"/>
        <color rgb="FF00AEEF"/>
        <rFont val="Cabin"/>
        <family val="2"/>
      </rPr>
      <t>Please provide the following information for your hospital or health system.</t>
    </r>
    <r>
      <rPr>
        <sz val="12"/>
        <color theme="1"/>
        <rFont val="Cabin"/>
        <family val="2"/>
      </rPr>
      <t xml:space="preserve">
</t>
    </r>
  </si>
  <si>
    <r>
      <rPr>
        <b/>
        <sz val="12"/>
        <color rgb="FFF05333"/>
        <rFont val="Cabin"/>
        <family val="2"/>
      </rPr>
      <t xml:space="preserve">
Section 8. Patient Demographics
</t>
    </r>
    <r>
      <rPr>
        <i/>
        <sz val="12"/>
        <color rgb="FF00AEEF"/>
        <rFont val="Cabin"/>
        <family val="2"/>
      </rPr>
      <t>Please provide the following information for your hospital or health system.</t>
    </r>
    <r>
      <rPr>
        <sz val="12"/>
        <color theme="1"/>
        <rFont val="Cabin"/>
        <family val="2"/>
      </rPr>
      <t xml:space="preserve">
</t>
    </r>
  </si>
  <si>
    <t>43. Discharges by Sex.</t>
  </si>
  <si>
    <t>A. Male.</t>
  </si>
  <si>
    <t>B. Female.</t>
  </si>
  <si>
    <t>C. Unknown.</t>
  </si>
  <si>
    <t>44. Discharges by Ethnicity.</t>
  </si>
  <si>
    <t>A. Hispanic or Latino.</t>
  </si>
  <si>
    <t>B. Non-Hispanic or Non-Latino.</t>
  </si>
  <si>
    <t>45. Discharges by Race.</t>
  </si>
  <si>
    <t>A. American Indian or Alaskan Native.</t>
  </si>
  <si>
    <t>B. Asian.</t>
  </si>
  <si>
    <t>C. Black or African American.</t>
  </si>
  <si>
    <t>E. White.</t>
  </si>
  <si>
    <t>F. Other.</t>
  </si>
  <si>
    <t>G. Unknown.</t>
  </si>
  <si>
    <t>46.  Discharges by Age.</t>
  </si>
  <si>
    <t>F. Unknown.</t>
  </si>
  <si>
    <t>A. Age 0 to 1 year.</t>
  </si>
  <si>
    <t>B. Age 2 to 18 years.</t>
  </si>
  <si>
    <t>C. Age 19 to 44 years.</t>
  </si>
  <si>
    <t>D. Age 45 to 64 years.</t>
  </si>
  <si>
    <t>E.  Age 65 years and over.</t>
  </si>
  <si>
    <t>Total:</t>
  </si>
  <si>
    <r>
      <t xml:space="preserve">Supplemental Medicaid payments (auto-calculated). 
</t>
    </r>
    <r>
      <rPr>
        <i/>
        <sz val="10"/>
        <color rgb="FF00AEEF"/>
        <rFont val="Cabin"/>
        <family val="2"/>
      </rPr>
      <t>Equivalent to Question 2A - Question 2B</t>
    </r>
  </si>
  <si>
    <r>
      <t xml:space="preserve">TOTAL </t>
    </r>
    <r>
      <rPr>
        <b/>
        <sz val="10"/>
        <color rgb="FF00AEEF"/>
        <rFont val="Cabin"/>
        <family val="2"/>
      </rPr>
      <t>(</t>
    </r>
    <r>
      <rPr>
        <sz val="10"/>
        <color rgb="FF00AEEF"/>
        <rFont val="Cabin"/>
        <family val="2"/>
      </rPr>
      <t>Should equal to Section 5, Question 1, Column 2):</t>
    </r>
  </si>
  <si>
    <r>
      <rPr>
        <b/>
        <sz val="11"/>
        <color rgb="FF35BDB2"/>
        <rFont val="Cabin"/>
        <family val="2"/>
      </rPr>
      <t>Part A. Non-Federal Funding of Base Medicaid Payments.</t>
    </r>
    <r>
      <rPr>
        <i/>
        <sz val="11"/>
        <rFont val="Cabin"/>
        <family val="2"/>
      </rPr>
      <t xml:space="preserve">
</t>
    </r>
    <r>
      <rPr>
        <i/>
        <sz val="11"/>
        <color rgb="FF00AEEF"/>
        <rFont val="Cabin"/>
        <family val="2"/>
      </rPr>
      <t xml:space="preserve">This section is applicable only if you provide intergovernmental transfers (IGTs), certified public expenditures (CPEs), or provider taxes associated with base Medicaid payments (i.e., non-DSH, non-supplemental Medicaid payments).
For questions in part A, only report data on non-Federal share funding related to base Medicaid payments. Please use the following definitions.  </t>
    </r>
    <r>
      <rPr>
        <b/>
        <i/>
        <sz val="11"/>
        <color rgb="FF00AEEF"/>
        <rFont val="Cabin"/>
        <family val="2"/>
      </rPr>
      <t>Intergovernmental Transfers</t>
    </r>
    <r>
      <rPr>
        <i/>
        <sz val="11"/>
        <color rgb="FF00AEEF"/>
        <rFont val="Cabin"/>
        <family val="2"/>
      </rPr>
      <t xml:space="preserve"> (IGTs) are amounts transferred by public providers or local governments, by you or on your behalf, to the state to draw down federal Medicaid funds in the matching process. </t>
    </r>
    <r>
      <rPr>
        <b/>
        <i/>
        <sz val="11"/>
        <color rgb="FF00AEEF"/>
        <rFont val="Cabin"/>
        <family val="2"/>
      </rPr>
      <t>Provider Taxes</t>
    </r>
    <r>
      <rPr>
        <i/>
        <sz val="11"/>
        <color rgb="FF00AEEF"/>
        <rFont val="Cabin"/>
        <family val="2"/>
      </rPr>
      <t xml:space="preserve"> are state taxes on health care providers that help finance the state share of Medicaid. </t>
    </r>
    <r>
      <rPr>
        <b/>
        <i/>
        <sz val="11"/>
        <color rgb="FF00AEEF"/>
        <rFont val="Cabin"/>
        <family val="2"/>
      </rPr>
      <t>Certified Public Expenditures</t>
    </r>
    <r>
      <rPr>
        <i/>
        <sz val="11"/>
        <color rgb="FF00AEEF"/>
        <rFont val="Cabin"/>
        <family val="2"/>
      </rPr>
      <t xml:space="preserve"> (CPEs) are certifications by public entities that they have expended funds on items and services eligible for federal match under the Medicaid program.</t>
    </r>
    <r>
      <rPr>
        <i/>
        <sz val="11"/>
        <rFont val="Cabin"/>
        <family val="2"/>
      </rPr>
      <t xml:space="preserve">
</t>
    </r>
  </si>
  <si>
    <r>
      <rPr>
        <b/>
        <sz val="12"/>
        <color rgb="FF00AEEF"/>
        <rFont val="Cabin"/>
        <family val="2"/>
      </rPr>
      <t>Survey Instructions:</t>
    </r>
    <r>
      <rPr>
        <sz val="12"/>
        <color theme="1"/>
        <rFont val="Cabin"/>
        <family val="2"/>
      </rPr>
      <t xml:space="preserve">
Please provide data for the fiscal year ending in 2014.  In order to ensure that the survey responses remain representative of the growing membership, we ask that you now include all hospitals, including specialty hospitals within your organization that are represented by America's Essential Hospitals.  You will have the opportunity to select which hospitals you are reporting data for in Section 2 of the survey.
All survey submissions are due </t>
    </r>
    <r>
      <rPr>
        <b/>
        <sz val="12"/>
        <color theme="1"/>
        <rFont val="Cabin"/>
        <family val="2"/>
      </rPr>
      <t>October 30, 2015.</t>
    </r>
    <r>
      <rPr>
        <sz val="12"/>
        <color theme="1"/>
        <rFont val="Cabin"/>
        <family val="2"/>
      </rPr>
      <t xml:space="preserve">  Detailed specifications and instructions for each survey question are located next to the question in </t>
    </r>
    <r>
      <rPr>
        <b/>
        <sz val="12"/>
        <color rgb="FF00AEEF"/>
        <rFont val="Cabin"/>
        <family val="2"/>
      </rPr>
      <t xml:space="preserve">blue.
</t>
    </r>
    <r>
      <rPr>
        <sz val="12"/>
        <rFont val="Cabin"/>
        <family val="2"/>
      </rPr>
      <t>Please join the FY14 Characteristics Survey Users group at www.essentialhospitals.org to access trainings, survey documentation, and FAQs for this survey.  If you have any questions, please contact Chris Landry, Data Analyst, by email at clandry@essentialhospitals.org, or by phone at 202.495.3367.</t>
    </r>
  </si>
  <si>
    <r>
      <rPr>
        <b/>
        <sz val="12"/>
        <color rgb="FFF05333"/>
        <rFont val="Cabin"/>
        <family val="2"/>
      </rPr>
      <t>Section 2.  Hospital Identifying Information</t>
    </r>
    <r>
      <rPr>
        <sz val="12"/>
        <color theme="1"/>
        <rFont val="Cabin"/>
        <family val="2"/>
      </rPr>
      <t xml:space="preserve">
</t>
    </r>
    <r>
      <rPr>
        <sz val="12"/>
        <color rgb="FF00AEEF"/>
        <rFont val="Cabin"/>
        <family val="2"/>
      </rPr>
      <t>Please provide the following information for your hospital or health system.  For questions 1 &amp; 2, please select the start and end dates for the fiscal year ending in 2014.  For question 3, please select the state your system is located in, then your organization, then the hospitals that are included in this survey.  Clicking the save button will save your selection, and the box below will show which hospitals were selected.</t>
    </r>
  </si>
  <si>
    <r>
      <rPr>
        <b/>
        <sz val="12"/>
        <color rgb="FFF05333"/>
        <rFont val="Cabin"/>
        <family val="2"/>
      </rPr>
      <t xml:space="preserve">
Section 5. Ambulatory Care
</t>
    </r>
    <r>
      <rPr>
        <b/>
        <sz val="12"/>
        <color rgb="FF00AEEF"/>
        <rFont val="Cabin"/>
        <family val="2"/>
      </rPr>
      <t>Please provide the following ambulatory care information for the hospital(s) included in this survey.</t>
    </r>
    <r>
      <rPr>
        <sz val="12"/>
        <color theme="1"/>
        <rFont val="Cabin"/>
        <family val="2"/>
      </rPr>
      <t xml:space="preserve">
</t>
    </r>
  </si>
  <si>
    <r>
      <rPr>
        <b/>
        <sz val="11"/>
        <color rgb="FF00AEEF"/>
        <rFont val="Cabin"/>
        <family val="2"/>
      </rPr>
      <t>The following definitions should be used to answer questions 2 through 5.</t>
    </r>
    <r>
      <rPr>
        <sz val="11"/>
        <color rgb="FF00AEEF"/>
        <rFont val="Cabin"/>
        <family val="2"/>
      </rPr>
      <t xml:space="preserve"> An ambulatory location is </t>
    </r>
    <r>
      <rPr>
        <b/>
        <sz val="11"/>
        <color rgb="FF00AEEF"/>
        <rFont val="Cabin"/>
        <family val="2"/>
      </rPr>
      <t>on-campus</t>
    </r>
    <r>
      <rPr>
        <sz val="11"/>
        <color rgb="FF00AEEF"/>
        <rFont val="Cabin"/>
        <family val="2"/>
      </rPr>
      <t xml:space="preserve"> if they occupy a physical area immediately adjacent to the provider's main buildings, other areas and structures that are not contiguous to the main buildings, but are located within 250 yards of the main buildings, and any other areas determined on an individual case basis, by the CMS regional office, to be part of the provider's campus. </t>
    </r>
    <r>
      <rPr>
        <b/>
        <sz val="11"/>
        <color rgb="FF00AEEF"/>
        <rFont val="Cabin"/>
        <family val="2"/>
      </rPr>
      <t>Off-campus</t>
    </r>
    <r>
      <rPr>
        <sz val="11"/>
        <color rgb="FF00AEEF"/>
        <rFont val="Cabin"/>
        <family val="2"/>
      </rPr>
      <t xml:space="preserve"> locations do not meet on-campus criteria. A Federally Qualified Health Center (FQHC) is an entity that (i) is receiving Section 330 funding (as a community health center, migrant health center, health care for the homeless grantee, health services for residents of public housing grantee, or health schools, healthy community grantee; (ii) is receiving Section 330 funding under contract with an existing FQHC (as a sub-grantee); or (iii) was treated by the Department of Health and Human Services as a comprehensive fully funded health center as of January 1, 1990. An FQHC look-alike meets all the requirements for receiving Section 330 funding, yet does not receive funding from any Section 330 grants (i.e., has been certified as an `FQHC look-alike' under Medicare and Medicaid).</t>
    </r>
  </si>
  <si>
    <r>
      <t xml:space="preserve">A. Primary Care? </t>
    </r>
    <r>
      <rPr>
        <b/>
        <sz val="10"/>
        <color rgb="FF00AEEF"/>
        <rFont val="Cabin"/>
        <family val="2"/>
      </rPr>
      <t xml:space="preserve"> </t>
    </r>
    <r>
      <rPr>
        <i/>
        <sz val="10"/>
        <color rgb="FF00AEEF"/>
        <rFont val="Cabin"/>
        <family val="2"/>
      </rPr>
      <t>Primary care includes internal medicine, general medicine, family practice and pediatrics.</t>
    </r>
  </si>
  <si>
    <t>A. Total Emergency Department visits that resulted in an admission.</t>
  </si>
  <si>
    <r>
      <t xml:space="preserve">B. Total admissions (exclude hospital births of normal newborns).  
</t>
    </r>
    <r>
      <rPr>
        <sz val="10"/>
        <color rgb="FF00AEEF"/>
        <rFont val="Cabin"/>
        <family val="2"/>
      </rPr>
      <t>Exclude hospital births of normal newborns.</t>
    </r>
  </si>
  <si>
    <t>H. If possible, please report the number of Medicare patients reported in Section 6, Question 1A that received additional coverage under Medicaid and are therefore classified as "Dual Eligible."</t>
  </si>
  <si>
    <r>
      <rPr>
        <b/>
        <sz val="11"/>
        <color theme="1"/>
        <rFont val="Cabin"/>
        <family val="2"/>
      </rPr>
      <t xml:space="preserve">Total unreimbursed CPEs related to Medicaid DSH payments:
</t>
    </r>
    <r>
      <rPr>
        <i/>
        <sz val="10"/>
        <color rgb="FF00AEEF"/>
        <rFont val="Cabin"/>
        <family val="2"/>
      </rPr>
      <t>Equivalent to Question 2A - Question 2B</t>
    </r>
  </si>
  <si>
    <r>
      <rPr>
        <b/>
        <sz val="11"/>
        <color rgb="FF35BDB2"/>
        <rFont val="Cabin"/>
        <family val="2"/>
      </rPr>
      <t xml:space="preserve">Part C. Supplemental Medicaid Payments.  </t>
    </r>
    <r>
      <rPr>
        <i/>
        <sz val="11"/>
        <color rgb="FF00AEEF"/>
        <rFont val="Cabin"/>
        <family val="2"/>
      </rPr>
      <t xml:space="preserve">This section is applicable only if you receive supplemental Medicaid payments.
</t>
    </r>
    <r>
      <rPr>
        <sz val="11"/>
        <color rgb="FF00AEEF"/>
        <rFont val="Cabin"/>
        <family val="2"/>
      </rPr>
      <t xml:space="preserve">
States are permitted flexibility in setting payment rates for hospitals and other providers. Most of these payments are subject to regulatory upper payment limits (UPL) that limit payments by provider type. These payments are typically supplemental to the base Medicaid payment rates for hospital or other services. They are not Medicaid Disproportionate Share Hospital (DSH) payments. Therefore, for the purposes of part C, do not include base Medicaid or Medicaid DSH payments.</t>
    </r>
  </si>
  <si>
    <t>B. Total payments received for CPEs related to supplemental Medicaid payments.</t>
  </si>
  <si>
    <t>D. Native Hawaiian or Pacific Islander.</t>
  </si>
  <si>
    <r>
      <t xml:space="preserve">Annual Hospital Characteristics Survey
</t>
    </r>
    <r>
      <rPr>
        <b/>
        <sz val="16"/>
        <color rgb="FF00AEEF"/>
        <rFont val="Cabin"/>
        <family val="2"/>
      </rPr>
      <t>Due October 30, 2015</t>
    </r>
  </si>
  <si>
    <t>HOSP_0</t>
  </si>
  <si>
    <r>
      <rPr>
        <b/>
        <sz val="16"/>
        <color rgb="FFF05333"/>
        <rFont val="Calibri"/>
        <family val="2"/>
        <scheme val="minor"/>
      </rPr>
      <t xml:space="preserve">Chief Executive Officer Approval Page
</t>
    </r>
    <r>
      <rPr>
        <sz val="11"/>
        <color theme="1"/>
        <rFont val="Calibri"/>
        <family val="2"/>
        <scheme val="minor"/>
      </rPr>
      <t xml:space="preserve">
In 2014, America's Essential Hospitals formed a partnership with American Hospital Association 
(AHA) that allows us to have access to your organization's key revenue and expense information that 
is submitted as part of the AHA Annual Survey of Hospitals. We will use this data to supplement 
that which we have collected in this survey. By checking the box for the Data Release Consent, your 
organization will allow us to have access to the AHA data for your organization.
  I have verified the information reported in this survey and approve its submission.
     AHA Data Release Consent: Individual Hospital revenue data submitted through the AHA Annual Survey 
cannot be released by the AHA without the hospital's written consent. I hereby grant AHA permission 
to release my hospital's revenue data along with the rest of my survey to America's Essential 
Hospitals.
__________________________________________________________________________
Chief Executive Officer's Signature
Chief Executive Officer's Name
Organization Name
Street Address
City, State, and Zipcode
</t>
    </r>
  </si>
  <si>
    <t>Thank you for participating in America's Essential Hospitals' Annual Hospital
Characteristics Survey</t>
  </si>
  <si>
    <t xml:space="preserve">
</t>
  </si>
  <si>
    <t>1. Email the saved survey as an attachment to Chris Landry, Data Analyst at clandry@essentialhospitals.org
2. Print out the CEO Approval Page (click on the Data Sharing Agreement button) Have the page completed by your organization's Chief Executive Officer. You can then scan and email the signed page to Chris Landry at clandry@essentialhospitals.org or fax it to (202) 585-0101.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</si>
</sst>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mmm\-yy;@"/>
    <numFmt numFmtId="165" formatCode="0#####"/>
    <numFmt numFmtId="167" formatCode="[&lt;=9999999]###\-####;\(###\)\ ###\-####"/>
  </numFmts>
  <fonts count="43" x14ac:knownFonts="1">
    <font>
      <sz val="11"/>
      <color theme="1"/>
      <name val="Calibri"/>
      <family val="2"/>
      <scheme val="minor"/>
    </font>
    <font>
      <b/>
      <sz val="11"/>
      <color theme="1"/>
      <name val="Calibri"/>
      <family val="2"/>
      <scheme val="minor"/>
    </font>
    <font>
      <b/>
      <sz val="16"/>
      <color rgb="FF00AEEF"/>
      <name val="Cabin"/>
      <family val="2"/>
    </font>
    <font>
      <b/>
      <sz val="11"/>
      <color indexed="63"/>
      <name val="Cabin"/>
      <family val="2"/>
    </font>
    <font>
      <sz val="11"/>
      <color rgb="FF231F20"/>
      <name val="Cabin"/>
      <family val="2"/>
    </font>
    <font>
      <sz val="11"/>
      <color theme="1"/>
      <name val="Cabin"/>
      <family val="2"/>
    </font>
    <font>
      <b/>
      <sz val="16"/>
      <color rgb="FFF05333"/>
      <name val="Cabin"/>
      <family val="2"/>
    </font>
    <font>
      <sz val="12"/>
      <color theme="1"/>
      <name val="Cabin"/>
      <family val="2"/>
    </font>
    <font>
      <b/>
      <sz val="12"/>
      <color rgb="FF00AEEF"/>
      <name val="Cabin"/>
      <family val="2"/>
    </font>
    <font>
      <sz val="11"/>
      <color rgb="FFF05333"/>
      <name val="Cabin"/>
      <family val="2"/>
    </font>
    <font>
      <b/>
      <sz val="12"/>
      <color rgb="FFF05333"/>
      <name val="Cabin"/>
      <family val="2"/>
    </font>
    <font>
      <i/>
      <sz val="12"/>
      <color rgb="FF00AEEF"/>
      <name val="Cabin"/>
      <family val="2"/>
    </font>
    <font>
      <b/>
      <sz val="12"/>
      <color theme="1"/>
      <name val="Cabin"/>
      <family val="2"/>
    </font>
    <font>
      <b/>
      <sz val="11"/>
      <color theme="1"/>
      <name val="Cabin"/>
      <family val="2"/>
    </font>
    <font>
      <sz val="12"/>
      <color rgb="FF00AEEF"/>
      <name val="Cabin"/>
      <family val="2"/>
    </font>
    <font>
      <sz val="11"/>
      <color rgb="FF00AEEF"/>
      <name val="Cabin"/>
      <family val="2"/>
    </font>
    <font>
      <i/>
      <sz val="11"/>
      <color rgb="FF00AEEF"/>
      <name val="Cabin"/>
      <family val="2"/>
    </font>
    <font>
      <b/>
      <sz val="10"/>
      <color theme="1"/>
      <name val="Cabin"/>
      <family val="2"/>
    </font>
    <font>
      <sz val="11"/>
      <name val="Cabin"/>
      <family val="2"/>
    </font>
    <font>
      <b/>
      <sz val="11"/>
      <name val="Cabin"/>
      <family val="2"/>
    </font>
    <font>
      <b/>
      <sz val="11"/>
      <color rgb="FF231F20"/>
      <name val="Cabin"/>
      <family val="2"/>
    </font>
    <font>
      <b/>
      <sz val="11"/>
      <color rgb="FF35BDB2"/>
      <name val="Cabin"/>
      <family val="2"/>
    </font>
    <font>
      <b/>
      <sz val="11"/>
      <color rgb="FF00AEEF"/>
      <name val="Cabin"/>
      <family val="2"/>
    </font>
    <font>
      <i/>
      <sz val="10"/>
      <color rgb="FF00AEEF"/>
      <name val="Cabin"/>
      <family val="2"/>
    </font>
    <font>
      <sz val="10"/>
      <color rgb="FF00AEEF"/>
      <name val="Cabin"/>
      <family val="2"/>
    </font>
    <font>
      <b/>
      <i/>
      <sz val="10"/>
      <color theme="1"/>
      <name val="Cabin"/>
      <family val="2"/>
    </font>
    <font>
      <b/>
      <sz val="10"/>
      <color rgb="FF00AEEF"/>
      <name val="Cabin"/>
      <family val="2"/>
    </font>
    <font>
      <i/>
      <sz val="11"/>
      <name val="Cabin"/>
      <family val="2"/>
    </font>
    <font>
      <b/>
      <sz val="12"/>
      <color rgb="FF35BDB2"/>
      <name val="Cabin"/>
      <family val="2"/>
    </font>
    <font>
      <b/>
      <sz val="11"/>
      <color theme="4"/>
      <name val="Calibri"/>
      <family val="2"/>
      <scheme val="minor"/>
    </font>
    <font>
      <sz val="12"/>
      <name val="Cabin"/>
      <family val="2"/>
    </font>
    <font>
      <b/>
      <i/>
      <sz val="11"/>
      <color rgb="FF00AEEF"/>
      <name val="Cabin"/>
      <family val="2"/>
    </font>
    <font>
      <b/>
      <sz val="11"/>
      <color theme="0"/>
      <name val="Calibri"/>
      <family val="2"/>
      <scheme val="minor"/>
    </font>
    <font>
      <sz val="11"/>
      <color theme="0"/>
      <name val="Calibri"/>
      <family val="2"/>
      <scheme val="minor"/>
    </font>
    <font>
      <sz val="8"/>
      <name val="Segoe UI"/>
      <family val="2"/>
    </font>
    <font>
      <sz val="10"/>
      <color theme="1"/>
      <name val="Cabin"/>
      <family val="2"/>
    </font>
    <font>
      <b/>
      <sz val="16"/>
      <color rgb="FFF05333"/>
      <name val="Calibri"/>
      <family val="2"/>
      <scheme val="minor"/>
    </font>
    <font>
      <sz val="11"/>
      <color theme="0"/>
      <name val="Cabin"/>
      <family val="2"/>
    </font>
    <font>
      <b/>
      <sz val="11"/>
      <color theme="0"/>
      <name val="Cabin"/>
      <family val="2"/>
    </font>
    <font>
      <u/>
      <sz val="11"/>
      <color theme="10"/>
      <name val="Calibri"/>
      <family val="2"/>
      <scheme val="minor"/>
    </font>
    <font>
      <b/>
      <u/>
      <sz val="16"/>
      <color theme="0"/>
      <name val="Calibri"/>
      <family val="2"/>
      <scheme val="minor"/>
    </font>
    <font>
      <b/>
      <sz val="18"/>
      <color rgb="FFF05333"/>
      <name val="Cabin"/>
      <family val="2"/>
    </font>
    <font>
      <u/>
      <sz val="16"/>
      <color theme="0"/>
      <name val="Calibri"/>
      <family val="2"/>
      <scheme val="minor"/>
    </font>
  </fonts>
  <fills count="10">
    <fill>
      <patternFill patternType="none"/>
    </fill>
    <fill>
      <patternFill patternType="gray125"/>
    </fill>
    <fill>
      <patternFill patternType="solid">
        <fgColor theme="0"/>
        <bgColor indexed="64"/>
      </patternFill>
    </fill>
    <fill>
      <patternFill patternType="solid">
        <fgColor rgb="FFF05333"/>
        <bgColor indexed="64"/>
      </patternFill>
    </fill>
    <fill>
      <patternFill patternType="solid">
        <fgColor theme="0" tint="-4.9989318521683403E-2"/>
        <bgColor indexed="64"/>
      </patternFill>
    </fill>
    <fill>
      <patternFill patternType="solid">
        <fgColor rgb="FF35BDB2"/>
        <bgColor indexed="64"/>
      </patternFill>
    </fill>
    <fill>
      <patternFill patternType="solid">
        <fgColor rgb="FFF8F8F8"/>
        <bgColor indexed="64"/>
      </patternFill>
    </fill>
    <fill>
      <patternFill patternType="solid">
        <fgColor rgb="FFFFFF00"/>
        <bgColor indexed="64"/>
      </patternFill>
    </fill>
    <fill>
      <patternFill patternType="solid">
        <fgColor theme="4" tint="0.79998168889431442"/>
        <bgColor indexed="64"/>
      </patternFill>
    </fill>
    <fill>
      <patternFill patternType="solid">
        <fgColor rgb="FF717073"/>
        <bgColor indexed="64"/>
      </patternFill>
    </fill>
  </fills>
  <borders count="17">
    <border>
      <left/>
      <right/>
      <top/>
      <bottom/>
      <diagonal/>
    </border>
    <border>
      <left/>
      <right/>
      <top style="thin">
        <color rgb="FF717073"/>
      </top>
      <bottom/>
      <diagonal/>
    </border>
    <border>
      <left style="medium">
        <color rgb="FF717073"/>
      </left>
      <right style="medium">
        <color rgb="FF717073"/>
      </right>
      <top style="medium">
        <color rgb="FF717073"/>
      </top>
      <bottom style="medium">
        <color rgb="FF717073"/>
      </bottom>
      <diagonal/>
    </border>
    <border>
      <left style="medium">
        <color rgb="FF717073"/>
      </left>
      <right/>
      <top style="medium">
        <color rgb="FF717073"/>
      </top>
      <bottom style="medium">
        <color rgb="FF717073"/>
      </bottom>
      <diagonal/>
    </border>
    <border>
      <left/>
      <right/>
      <top style="medium">
        <color rgb="FF717073"/>
      </top>
      <bottom style="medium">
        <color rgb="FF717073"/>
      </bottom>
      <diagonal/>
    </border>
    <border>
      <left/>
      <right style="medium">
        <color rgb="FF717073"/>
      </right>
      <top style="medium">
        <color rgb="FF717073"/>
      </top>
      <bottom style="medium">
        <color rgb="FF717073"/>
      </bottom>
      <diagonal/>
    </border>
    <border>
      <left style="medium">
        <color rgb="FF717073"/>
      </left>
      <right/>
      <top style="medium">
        <color rgb="FF717073"/>
      </top>
      <bottom/>
      <diagonal/>
    </border>
    <border>
      <left/>
      <right style="medium">
        <color rgb="FF717073"/>
      </right>
      <top style="medium">
        <color rgb="FF717073"/>
      </top>
      <bottom/>
      <diagonal/>
    </border>
    <border>
      <left style="medium">
        <color rgb="FF717073"/>
      </left>
      <right/>
      <top/>
      <bottom/>
      <diagonal/>
    </border>
    <border>
      <left/>
      <right style="medium">
        <color rgb="FF717073"/>
      </right>
      <top/>
      <bottom/>
      <diagonal/>
    </border>
    <border>
      <left style="medium">
        <color rgb="FF717073"/>
      </left>
      <right/>
      <top/>
      <bottom style="medium">
        <color rgb="FF717073"/>
      </bottom>
      <diagonal/>
    </border>
    <border>
      <left/>
      <right/>
      <top/>
      <bottom style="medium">
        <color rgb="FF717073"/>
      </bottom>
      <diagonal/>
    </border>
    <border>
      <left/>
      <right style="medium">
        <color rgb="FF717073"/>
      </right>
      <top/>
      <bottom style="medium">
        <color rgb="FF71707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style="medium">
        <color rgb="FF717073"/>
      </top>
      <bottom/>
      <diagonal/>
    </border>
  </borders>
  <cellStyleXfs count="2">
    <xf numFmtId="0" fontId="0" fillId="0" borderId="0"/>
    <xf numFmtId="0" fontId="39" fillId="0" borderId="0" applyNumberFormat="0" applyFill="0" applyBorder="0" applyAlignment="0" applyProtection="0"/>
  </cellStyleXfs>
  <cellXfs count="274">
    <xf numFmtId="0" fontId="0" fillId="0" borderId="0" xfId="0"/>
    <xf numFmtId="0" fontId="0" fillId="0" borderId="0" xfId="0" applyAlignment="1">
      <alignment horizontal="left"/>
    </xf>
    <xf numFmtId="0" fontId="0" fillId="0" borderId="0" xfId="0" applyFill="1" applyBorder="1"/>
    <xf numFmtId="0" fontId="1" fillId="0" borderId="0" xfId="0" applyFont="1"/>
    <xf numFmtId="0" fontId="0" fillId="0" borderId="0" xfId="0" applyAlignment="1">
      <alignment vertical="center"/>
    </xf>
    <xf numFmtId="0" fontId="0" fillId="0" borderId="0" xfId="0" applyProtection="1">
      <protection locked="0"/>
    </xf>
    <xf numFmtId="0" fontId="5" fillId="0" borderId="0" xfId="0" applyFont="1"/>
    <xf numFmtId="0" fontId="12" fillId="2" borderId="0" xfId="0" applyFont="1" applyFill="1"/>
    <xf numFmtId="0" fontId="5" fillId="2" borderId="0" xfId="0" applyFont="1" applyFill="1"/>
    <xf numFmtId="0" fontId="5" fillId="2" borderId="0" xfId="0" applyFont="1" applyFill="1" applyBorder="1"/>
    <xf numFmtId="0" fontId="5" fillId="2" borderId="0" xfId="0" applyFont="1" applyFill="1" applyBorder="1" applyAlignment="1">
      <alignment vertical="center"/>
    </xf>
    <xf numFmtId="0" fontId="5" fillId="2" borderId="0" xfId="0" applyFont="1" applyFill="1" applyAlignment="1">
      <alignment vertical="center"/>
    </xf>
    <xf numFmtId="0" fontId="9" fillId="3" borderId="3" xfId="0" applyFont="1" applyFill="1" applyBorder="1"/>
    <xf numFmtId="0" fontId="9" fillId="3" borderId="4" xfId="0" applyFont="1" applyFill="1" applyBorder="1"/>
    <xf numFmtId="0" fontId="9" fillId="3" borderId="4" xfId="0" applyFont="1" applyFill="1" applyBorder="1" applyAlignment="1">
      <alignment vertical="center"/>
    </xf>
    <xf numFmtId="0" fontId="5" fillId="3" borderId="5" xfId="0" applyFont="1" applyFill="1" applyBorder="1" applyAlignment="1">
      <alignment vertical="center"/>
    </xf>
    <xf numFmtId="0" fontId="9" fillId="2" borderId="0" xfId="0" applyFont="1" applyFill="1" applyBorder="1"/>
    <xf numFmtId="0" fontId="9" fillId="2" borderId="0" xfId="0" applyFont="1" applyFill="1" applyBorder="1" applyAlignment="1">
      <alignment vertical="center"/>
    </xf>
    <xf numFmtId="0" fontId="13" fillId="2" borderId="0" xfId="0" applyFont="1" applyFill="1" applyAlignment="1">
      <alignment vertical="center"/>
    </xf>
    <xf numFmtId="0" fontId="13" fillId="2" borderId="0" xfId="0" applyFont="1" applyFill="1" applyAlignment="1">
      <alignment horizontal="center"/>
    </xf>
    <xf numFmtId="0" fontId="13" fillId="2" borderId="0" xfId="0" applyFont="1" applyFill="1" applyBorder="1" applyAlignment="1">
      <alignment horizontal="center" vertical="center"/>
    </xf>
    <xf numFmtId="0" fontId="18" fillId="0" borderId="0" xfId="0" applyFont="1" applyAlignment="1">
      <alignment vertical="top" wrapText="1"/>
    </xf>
    <xf numFmtId="0" fontId="19" fillId="0" borderId="0" xfId="0" applyFont="1" applyAlignment="1">
      <alignment horizontal="center" vertical="center" wrapText="1"/>
    </xf>
    <xf numFmtId="0" fontId="18" fillId="0" borderId="0" xfId="0" applyFont="1" applyAlignment="1">
      <alignment vertical="center" wrapText="1"/>
    </xf>
    <xf numFmtId="0" fontId="5" fillId="0" borderId="0" xfId="0" applyFont="1" applyAlignment="1">
      <alignment vertical="center"/>
    </xf>
    <xf numFmtId="0" fontId="13" fillId="0" borderId="0" xfId="0" applyFont="1"/>
    <xf numFmtId="0" fontId="13" fillId="0" borderId="0" xfId="0" applyFont="1" applyBorder="1" applyAlignment="1"/>
    <xf numFmtId="0" fontId="12" fillId="0" borderId="0" xfId="0" applyFont="1" applyBorder="1" applyAlignment="1">
      <alignment horizontal="center"/>
    </xf>
    <xf numFmtId="0" fontId="5" fillId="0" borderId="0" xfId="0" applyFont="1" applyBorder="1"/>
    <xf numFmtId="0" fontId="5" fillId="0" borderId="0" xfId="0" applyFont="1" applyBorder="1" applyAlignment="1">
      <alignment vertical="center"/>
    </xf>
    <xf numFmtId="0" fontId="5" fillId="0" borderId="0" xfId="0" applyFont="1" applyAlignment="1">
      <alignment horizontal="center" vertical="center"/>
    </xf>
    <xf numFmtId="0" fontId="5" fillId="0" borderId="0" xfId="0" applyFont="1" applyAlignment="1">
      <alignment wrapText="1"/>
    </xf>
    <xf numFmtId="0" fontId="5" fillId="0" borderId="0" xfId="0" applyFont="1" applyAlignment="1">
      <alignment vertical="center" wrapText="1"/>
    </xf>
    <xf numFmtId="0" fontId="13" fillId="0" borderId="0" xfId="0" applyFont="1" applyAlignment="1">
      <alignment horizontal="center" vertical="center" wrapText="1"/>
    </xf>
    <xf numFmtId="0" fontId="13" fillId="0" borderId="0" xfId="0" applyFont="1" applyAlignment="1">
      <alignment horizontal="center" vertical="center"/>
    </xf>
    <xf numFmtId="0" fontId="5" fillId="0" borderId="0" xfId="0" applyFont="1" applyFill="1" applyBorder="1" applyAlignment="1">
      <alignment horizontal="center"/>
    </xf>
    <xf numFmtId="0" fontId="13" fillId="0" borderId="0" xfId="0" applyFont="1" applyFill="1" applyBorder="1" applyAlignment="1">
      <alignment horizontal="right"/>
    </xf>
    <xf numFmtId="0" fontId="13" fillId="0" borderId="0" xfId="0" applyFont="1" applyFill="1" applyBorder="1" applyAlignment="1"/>
    <xf numFmtId="0" fontId="13" fillId="2" borderId="0" xfId="0" applyFont="1" applyFill="1" applyAlignment="1">
      <alignment horizontal="center" vertical="center"/>
    </xf>
    <xf numFmtId="0" fontId="5" fillId="0" borderId="0" xfId="0" applyFont="1" applyFill="1" applyBorder="1" applyAlignment="1">
      <alignment horizontal="center" vertical="center"/>
    </xf>
    <xf numFmtId="0" fontId="5" fillId="0" borderId="0" xfId="0" applyFont="1" applyFill="1" applyAlignment="1">
      <alignment vertical="center"/>
    </xf>
    <xf numFmtId="0" fontId="7" fillId="0" borderId="0" xfId="0" applyFont="1"/>
    <xf numFmtId="0" fontId="5" fillId="0" borderId="0" xfId="0" applyFont="1" applyFill="1" applyBorder="1" applyAlignment="1">
      <alignment vertical="center"/>
    </xf>
    <xf numFmtId="0" fontId="18" fillId="0" borderId="0" xfId="0" applyFont="1" applyFill="1" applyBorder="1" applyAlignment="1">
      <alignment vertical="center"/>
    </xf>
    <xf numFmtId="0" fontId="12" fillId="0" borderId="0" xfId="0" applyFont="1" applyAlignment="1">
      <alignment horizontal="right"/>
    </xf>
    <xf numFmtId="0" fontId="13" fillId="0" borderId="0" xfId="0" applyFont="1" applyFill="1" applyAlignment="1">
      <alignment horizontal="left"/>
    </xf>
    <xf numFmtId="0" fontId="5" fillId="0" borderId="0" xfId="0" applyFont="1" applyFill="1"/>
    <xf numFmtId="0" fontId="13" fillId="2" borderId="0" xfId="0" applyFont="1" applyFill="1" applyBorder="1" applyAlignment="1">
      <alignment vertical="center"/>
    </xf>
    <xf numFmtId="0" fontId="7" fillId="2" borderId="0" xfId="0" applyFont="1" applyFill="1" applyBorder="1" applyAlignment="1">
      <alignment horizontal="left" vertical="center" wrapText="1"/>
    </xf>
    <xf numFmtId="0" fontId="5" fillId="0" borderId="0" xfId="0" applyFont="1" applyAlignment="1">
      <alignment horizontal="left" vertical="center" wrapText="1"/>
    </xf>
    <xf numFmtId="0" fontId="13" fillId="0" borderId="0" xfId="0" applyFont="1" applyAlignment="1">
      <alignment horizontal="left"/>
    </xf>
    <xf numFmtId="0" fontId="13" fillId="0" borderId="0" xfId="0" applyFont="1" applyAlignment="1">
      <alignment horizontal="left" vertical="center"/>
    </xf>
    <xf numFmtId="0" fontId="13" fillId="0" borderId="0" xfId="0" applyFont="1" applyAlignment="1">
      <alignment horizontal="left" vertical="center" wrapText="1"/>
    </xf>
    <xf numFmtId="0" fontId="13" fillId="0" borderId="0" xfId="0" applyFont="1" applyAlignment="1">
      <alignment horizontal="left" wrapText="1"/>
    </xf>
    <xf numFmtId="0" fontId="5" fillId="0" borderId="0" xfId="0" applyFont="1" applyAlignment="1">
      <alignment horizontal="left" wrapText="1"/>
    </xf>
    <xf numFmtId="0" fontId="7" fillId="2" borderId="0" xfId="0" applyFont="1" applyFill="1" applyAlignment="1">
      <alignment horizontal="left" vertical="center" wrapText="1"/>
    </xf>
    <xf numFmtId="0" fontId="13" fillId="2" borderId="0" xfId="0" applyFont="1" applyFill="1" applyAlignment="1">
      <alignment horizontal="left" vertical="center" wrapText="1"/>
    </xf>
    <xf numFmtId="0" fontId="17" fillId="0" borderId="0" xfId="0" applyFont="1" applyFill="1" applyBorder="1" applyAlignment="1">
      <alignment horizontal="center" vertical="center"/>
    </xf>
    <xf numFmtId="0" fontId="13" fillId="0" borderId="0" xfId="0" applyFont="1" applyAlignment="1">
      <alignment horizontal="right"/>
    </xf>
    <xf numFmtId="0" fontId="13" fillId="0" borderId="0" xfId="0" applyFont="1" applyAlignment="1">
      <alignment horizontal="center" wrapText="1"/>
    </xf>
    <xf numFmtId="0" fontId="13" fillId="0" borderId="0" xfId="0" applyFont="1" applyAlignment="1">
      <alignment horizontal="center"/>
    </xf>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5" fillId="0" borderId="0" xfId="0" applyFont="1" applyFill="1" applyBorder="1"/>
    <xf numFmtId="0" fontId="5" fillId="0" borderId="0" xfId="0" applyFont="1" applyFill="1" applyAlignment="1">
      <alignment horizontal="left"/>
    </xf>
    <xf numFmtId="0" fontId="5" fillId="0" borderId="8" xfId="0" applyFont="1" applyFill="1" applyBorder="1"/>
    <xf numFmtId="0" fontId="5" fillId="0" borderId="0" xfId="0" applyFont="1" applyFill="1" applyProtection="1"/>
    <xf numFmtId="0" fontId="5" fillId="0" borderId="0" xfId="0" applyFont="1" applyFill="1" applyAlignment="1" applyProtection="1">
      <alignment vertical="center"/>
    </xf>
    <xf numFmtId="0" fontId="5" fillId="0" borderId="0" xfId="0" applyFont="1" applyFill="1" applyBorder="1" applyProtection="1"/>
    <xf numFmtId="0" fontId="5" fillId="0" borderId="1" xfId="0" applyFont="1" applyFill="1" applyBorder="1" applyProtection="1"/>
    <xf numFmtId="0" fontId="7" fillId="0" borderId="0" xfId="0" applyFont="1" applyFill="1" applyAlignment="1" applyProtection="1">
      <alignment horizontal="left" vertical="center" wrapText="1"/>
    </xf>
    <xf numFmtId="0" fontId="5" fillId="0" borderId="0" xfId="0" applyFont="1" applyFill="1" applyAlignment="1" applyProtection="1">
      <alignment horizontal="left"/>
    </xf>
    <xf numFmtId="0" fontId="9" fillId="0" borderId="0" xfId="0" applyFont="1" applyFill="1" applyBorder="1" applyAlignment="1" applyProtection="1">
      <alignment horizontal="center"/>
    </xf>
    <xf numFmtId="0" fontId="9" fillId="0" borderId="0" xfId="0" applyFont="1" applyFill="1" applyBorder="1" applyAlignment="1" applyProtection="1">
      <alignment horizontal="center" vertical="center"/>
    </xf>
    <xf numFmtId="0" fontId="9" fillId="0" borderId="0" xfId="0" applyFont="1" applyFill="1" applyBorder="1" applyProtection="1"/>
    <xf numFmtId="0" fontId="9" fillId="0" borderId="0" xfId="0" applyFont="1" applyFill="1" applyBorder="1" applyAlignment="1" applyProtection="1">
      <alignment vertical="center"/>
    </xf>
    <xf numFmtId="0" fontId="5" fillId="0" borderId="0" xfId="0" applyFont="1" applyFill="1" applyBorder="1" applyAlignment="1" applyProtection="1">
      <alignment vertical="center"/>
    </xf>
    <xf numFmtId="0" fontId="7" fillId="0" borderId="0" xfId="0" applyFont="1" applyFill="1" applyAlignment="1" applyProtection="1">
      <alignment horizontal="left" wrapText="1"/>
    </xf>
    <xf numFmtId="0" fontId="12" fillId="0" borderId="0" xfId="0" applyFont="1" applyFill="1"/>
    <xf numFmtId="0" fontId="5" fillId="0" borderId="0" xfId="0" applyFont="1" applyFill="1" applyBorder="1" applyAlignment="1"/>
    <xf numFmtId="0" fontId="7" fillId="0" borderId="0" xfId="0" applyFont="1" applyFill="1"/>
    <xf numFmtId="0" fontId="5" fillId="0" borderId="0" xfId="0" applyFont="1" applyFill="1" applyAlignment="1">
      <alignment horizontal="center" vertical="center"/>
    </xf>
    <xf numFmtId="0" fontId="7" fillId="0" borderId="0" xfId="0" applyFont="1" applyFill="1" applyBorder="1"/>
    <xf numFmtId="0" fontId="7" fillId="0" borderId="0" xfId="0" applyFont="1" applyFill="1" applyBorder="1" applyAlignment="1">
      <alignment vertical="center"/>
    </xf>
    <xf numFmtId="0" fontId="13" fillId="5" borderId="2" xfId="0" applyFont="1" applyFill="1" applyBorder="1" applyAlignment="1">
      <alignment horizontal="center" vertical="center"/>
    </xf>
    <xf numFmtId="0" fontId="7" fillId="0" borderId="0" xfId="0" applyFont="1" applyFill="1" applyBorder="1" applyAlignment="1">
      <alignment horizontal="center" vertical="center"/>
    </xf>
    <xf numFmtId="0" fontId="1" fillId="8" borderId="0" xfId="0" applyFont="1" applyFill="1" applyBorder="1" applyAlignment="1">
      <alignment horizontal="left"/>
    </xf>
    <xf numFmtId="0" fontId="1" fillId="0" borderId="0" xfId="0" applyFont="1" applyBorder="1" applyAlignment="1">
      <alignment horizontal="left"/>
    </xf>
    <xf numFmtId="0" fontId="0" fillId="8" borderId="0" xfId="0" applyFill="1" applyBorder="1" applyAlignment="1">
      <alignment horizontal="left"/>
    </xf>
    <xf numFmtId="0" fontId="0" fillId="0" borderId="0" xfId="0" applyBorder="1" applyAlignment="1">
      <alignment horizontal="left"/>
    </xf>
    <xf numFmtId="0" fontId="0" fillId="0" borderId="0" xfId="0" applyFill="1" applyBorder="1" applyAlignment="1">
      <alignment horizontal="left"/>
    </xf>
    <xf numFmtId="14" fontId="0" fillId="0" borderId="0" xfId="0" applyNumberFormat="1"/>
    <xf numFmtId="164" fontId="0" fillId="0" borderId="0" xfId="0" applyNumberFormat="1"/>
    <xf numFmtId="0" fontId="12" fillId="0" borderId="0" xfId="0" applyFont="1" applyFill="1" applyAlignment="1">
      <alignment vertical="center"/>
    </xf>
    <xf numFmtId="0" fontId="7" fillId="0" borderId="0" xfId="0" applyFont="1" applyFill="1" applyAlignment="1">
      <alignment vertical="center"/>
    </xf>
    <xf numFmtId="0" fontId="13" fillId="0" borderId="0" xfId="0" applyFont="1" applyFill="1" applyAlignment="1">
      <alignment vertical="center"/>
    </xf>
    <xf numFmtId="0" fontId="12" fillId="2" borderId="0" xfId="0" applyFont="1" applyFill="1" applyAlignment="1">
      <alignment vertical="center"/>
    </xf>
    <xf numFmtId="0" fontId="13" fillId="0" borderId="0" xfId="0" applyFont="1" applyFill="1" applyBorder="1" applyAlignment="1">
      <alignment horizontal="center"/>
    </xf>
    <xf numFmtId="0" fontId="0" fillId="0" borderId="0" xfId="0" applyFont="1" applyFill="1" applyBorder="1" applyAlignment="1">
      <alignment horizontal="left"/>
    </xf>
    <xf numFmtId="0" fontId="7" fillId="2" borderId="0" xfId="0" applyFont="1" applyFill="1" applyBorder="1"/>
    <xf numFmtId="0" fontId="12" fillId="2" borderId="0" xfId="0" applyFont="1" applyFill="1" applyBorder="1"/>
    <xf numFmtId="165" fontId="0" fillId="0" borderId="0" xfId="0" applyNumberFormat="1"/>
    <xf numFmtId="0" fontId="1" fillId="8" borderId="0" xfId="0" applyFont="1" applyFill="1" applyAlignment="1">
      <alignment horizontal="center"/>
    </xf>
    <xf numFmtId="0" fontId="1" fillId="8" borderId="0" xfId="0" applyFont="1" applyFill="1"/>
    <xf numFmtId="0" fontId="0" fillId="8" borderId="0" xfId="0" applyFill="1"/>
    <xf numFmtId="0" fontId="0" fillId="8" borderId="0" xfId="0" applyFont="1" applyFill="1"/>
    <xf numFmtId="0" fontId="29" fillId="0" borderId="0" xfId="0" applyFont="1" applyFill="1" applyAlignment="1">
      <alignment horizontal="center"/>
    </xf>
    <xf numFmtId="0" fontId="1" fillId="7" borderId="0" xfId="0" applyFont="1" applyFill="1"/>
    <xf numFmtId="0" fontId="0" fillId="7" borderId="0" xfId="0" applyFill="1"/>
    <xf numFmtId="0" fontId="5" fillId="0" borderId="0" xfId="0" applyFont="1" applyFill="1" applyAlignment="1" applyProtection="1">
      <alignment wrapText="1"/>
    </xf>
    <xf numFmtId="0" fontId="5" fillId="9" borderId="0" xfId="0" applyFont="1" applyFill="1"/>
    <xf numFmtId="0" fontId="5" fillId="9" borderId="0" xfId="0" applyFont="1" applyFill="1" applyAlignment="1">
      <alignment vertical="center"/>
    </xf>
    <xf numFmtId="0" fontId="0" fillId="9" borderId="0" xfId="0" applyFill="1"/>
    <xf numFmtId="0" fontId="0" fillId="9" borderId="0" xfId="0" applyFill="1" applyAlignment="1">
      <alignment horizontal="left"/>
    </xf>
    <xf numFmtId="0" fontId="0" fillId="9" borderId="0" xfId="0" applyFill="1" applyBorder="1"/>
    <xf numFmtId="0" fontId="0" fillId="9" borderId="0" xfId="0" applyFill="1" applyAlignment="1">
      <alignment vertical="center"/>
    </xf>
    <xf numFmtId="0" fontId="13" fillId="0" borderId="0" xfId="0" applyFont="1" applyFill="1"/>
    <xf numFmtId="0" fontId="13" fillId="0" borderId="0" xfId="0" applyFont="1" applyAlignment="1">
      <alignment horizontal="right"/>
    </xf>
    <xf numFmtId="0" fontId="5" fillId="9" borderId="0" xfId="0" applyFont="1" applyFill="1" applyBorder="1" applyAlignment="1"/>
    <xf numFmtId="0" fontId="5" fillId="4" borderId="2" xfId="0" applyFont="1" applyFill="1" applyBorder="1" applyAlignment="1" applyProtection="1">
      <alignment horizontal="center" vertical="center"/>
      <protection locked="0"/>
    </xf>
    <xf numFmtId="0" fontId="13" fillId="0" borderId="0" xfId="0" applyFont="1" applyAlignment="1"/>
    <xf numFmtId="0" fontId="13" fillId="0" borderId="0" xfId="0" applyFont="1" applyAlignment="1">
      <alignment horizontal="left" vertical="center" wrapText="1"/>
    </xf>
    <xf numFmtId="0" fontId="5" fillId="4" borderId="6" xfId="0" applyFont="1" applyFill="1" applyBorder="1" applyAlignment="1" applyProtection="1">
      <alignment horizontal="center" vertical="center"/>
      <protection locked="0"/>
    </xf>
    <xf numFmtId="0" fontId="5" fillId="4" borderId="7" xfId="0" applyFont="1" applyFill="1" applyBorder="1" applyAlignment="1" applyProtection="1">
      <alignment horizontal="center" vertical="center"/>
      <protection locked="0"/>
    </xf>
    <xf numFmtId="0" fontId="5" fillId="4" borderId="10" xfId="0" applyFont="1" applyFill="1" applyBorder="1" applyAlignment="1" applyProtection="1">
      <alignment horizontal="center" vertical="center"/>
      <protection locked="0"/>
    </xf>
    <xf numFmtId="0" fontId="5" fillId="4" borderId="12" xfId="0" applyFont="1" applyFill="1" applyBorder="1" applyAlignment="1" applyProtection="1">
      <alignment horizontal="center" vertical="center"/>
      <protection locked="0"/>
    </xf>
    <xf numFmtId="0" fontId="13" fillId="0" borderId="0" xfId="0" applyFont="1" applyAlignment="1">
      <alignment horizontal="left"/>
    </xf>
    <xf numFmtId="0" fontId="5" fillId="4" borderId="3" xfId="0" applyFont="1" applyFill="1" applyBorder="1" applyAlignment="1" applyProtection="1">
      <alignment horizontal="center" vertical="center"/>
      <protection locked="0"/>
    </xf>
    <xf numFmtId="0" fontId="5" fillId="4" borderId="5" xfId="0" applyFont="1" applyFill="1" applyBorder="1" applyAlignment="1" applyProtection="1">
      <alignment horizontal="center" vertical="center"/>
      <protection locked="0"/>
    </xf>
    <xf numFmtId="0" fontId="5" fillId="5" borderId="3" xfId="0" applyFont="1" applyFill="1" applyBorder="1" applyAlignment="1">
      <alignment horizontal="center" vertical="center"/>
    </xf>
    <xf numFmtId="0" fontId="5" fillId="5" borderId="5" xfId="0" applyFont="1" applyFill="1" applyBorder="1" applyAlignment="1">
      <alignment horizontal="center" vertical="center"/>
    </xf>
    <xf numFmtId="0" fontId="13" fillId="0" borderId="0" xfId="0" applyFont="1" applyAlignment="1">
      <alignment horizontal="center" wrapText="1"/>
    </xf>
    <xf numFmtId="0" fontId="13" fillId="0" borderId="0" xfId="0" applyFont="1" applyAlignment="1">
      <alignment horizontal="center"/>
    </xf>
    <xf numFmtId="0" fontId="5" fillId="0" borderId="0" xfId="0" applyFont="1" applyAlignment="1">
      <alignment horizontal="left" vertical="center" wrapText="1"/>
    </xf>
    <xf numFmtId="0" fontId="7" fillId="2" borderId="0" xfId="0" applyFont="1" applyFill="1" applyAlignment="1">
      <alignment horizontal="left" vertical="center" wrapText="1"/>
    </xf>
    <xf numFmtId="0" fontId="27" fillId="0" borderId="0" xfId="0" applyFont="1" applyAlignment="1">
      <alignment horizontal="left" wrapText="1"/>
    </xf>
    <xf numFmtId="0" fontId="20" fillId="0" borderId="0" xfId="0" applyFont="1" applyAlignment="1">
      <alignment horizontal="left" vertical="center" wrapText="1"/>
    </xf>
    <xf numFmtId="0" fontId="13" fillId="0" borderId="0" xfId="0" applyFont="1" applyAlignment="1">
      <alignment horizontal="left" wrapText="1"/>
    </xf>
    <xf numFmtId="0" fontId="5" fillId="2" borderId="0" xfId="0" applyFont="1" applyFill="1" applyAlignment="1">
      <alignment horizontal="left" vertical="center" wrapText="1"/>
    </xf>
    <xf numFmtId="0" fontId="12" fillId="2" borderId="11" xfId="0" applyFont="1" applyFill="1" applyBorder="1" applyAlignment="1">
      <alignment horizontal="center" vertical="center" wrapText="1"/>
    </xf>
    <xf numFmtId="0" fontId="12" fillId="2" borderId="11" xfId="0" applyFont="1" applyFill="1" applyBorder="1" applyAlignment="1">
      <alignment horizontal="center" vertical="center"/>
    </xf>
    <xf numFmtId="0" fontId="13" fillId="0" borderId="0" xfId="0" applyFont="1" applyAlignment="1">
      <alignment horizontal="left" vertical="center"/>
    </xf>
    <xf numFmtId="0" fontId="5" fillId="4" borderId="3" xfId="0" applyFont="1" applyFill="1" applyBorder="1" applyAlignment="1" applyProtection="1">
      <alignment horizontal="center"/>
      <protection locked="0"/>
    </xf>
    <xf numFmtId="0" fontId="5" fillId="4" borderId="5" xfId="0" applyFont="1" applyFill="1" applyBorder="1" applyAlignment="1" applyProtection="1">
      <alignment horizontal="center"/>
      <protection locked="0"/>
    </xf>
    <xf numFmtId="0" fontId="13" fillId="0" borderId="0" xfId="0" applyFont="1" applyAlignment="1">
      <alignment horizontal="right"/>
    </xf>
    <xf numFmtId="0" fontId="13" fillId="0" borderId="9" xfId="0" applyFont="1" applyBorder="1" applyAlignment="1">
      <alignment horizontal="right"/>
    </xf>
    <xf numFmtId="0" fontId="5" fillId="0" borderId="0" xfId="0" applyFont="1" applyAlignment="1">
      <alignment horizontal="right" wrapText="1"/>
    </xf>
    <xf numFmtId="10" fontId="5" fillId="5" borderId="3" xfId="0" applyNumberFormat="1" applyFont="1" applyFill="1" applyBorder="1" applyAlignment="1">
      <alignment horizontal="center" vertical="center"/>
    </xf>
    <xf numFmtId="10" fontId="5" fillId="5" borderId="5" xfId="0" applyNumberFormat="1" applyFont="1" applyFill="1" applyBorder="1" applyAlignment="1">
      <alignment horizontal="center" vertical="center"/>
    </xf>
    <xf numFmtId="0" fontId="4" fillId="0" borderId="0" xfId="0" applyFont="1" applyAlignment="1">
      <alignment horizontal="left" vertical="center" wrapText="1"/>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13" fillId="2" borderId="0" xfId="0" applyFont="1" applyFill="1" applyAlignment="1">
      <alignment horizontal="left" vertical="center" wrapText="1"/>
    </xf>
    <xf numFmtId="0" fontId="5" fillId="2" borderId="0" xfId="0" applyFont="1" applyFill="1" applyBorder="1" applyAlignment="1">
      <alignment horizontal="center" vertical="center" wrapText="1"/>
    </xf>
    <xf numFmtId="0" fontId="15" fillId="2" borderId="0" xfId="0" applyFont="1" applyFill="1" applyAlignment="1">
      <alignment horizontal="left" vertical="center" wrapText="1"/>
    </xf>
    <xf numFmtId="0" fontId="12" fillId="2" borderId="11" xfId="0" applyFont="1" applyFill="1" applyBorder="1" applyAlignment="1">
      <alignment horizontal="center" wrapText="1"/>
    </xf>
    <xf numFmtId="0" fontId="12" fillId="2" borderId="11" xfId="0" applyFont="1" applyFill="1" applyBorder="1" applyAlignment="1">
      <alignment horizontal="center"/>
    </xf>
    <xf numFmtId="0" fontId="13" fillId="2" borderId="0" xfId="0" applyFont="1" applyFill="1" applyAlignment="1">
      <alignment horizontal="left" vertical="center"/>
    </xf>
    <xf numFmtId="0" fontId="17" fillId="2" borderId="0" xfId="0" applyFont="1" applyFill="1" applyBorder="1" applyAlignment="1">
      <alignment horizontal="center" vertical="center"/>
    </xf>
    <xf numFmtId="0" fontId="13"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17" fillId="0" borderId="0" xfId="0" applyFont="1" applyFill="1" applyBorder="1" applyAlignment="1">
      <alignment horizontal="center" vertical="center"/>
    </xf>
    <xf numFmtId="0" fontId="19" fillId="0" borderId="0" xfId="0" applyFont="1" applyAlignment="1">
      <alignment horizontal="left" vertical="center" wrapText="1"/>
    </xf>
    <xf numFmtId="0" fontId="7" fillId="4" borderId="0" xfId="0" applyFont="1" applyFill="1" applyBorder="1" applyAlignment="1">
      <alignment horizontal="center" vertical="center"/>
    </xf>
    <xf numFmtId="0" fontId="13" fillId="0" borderId="0" xfId="0" applyFont="1" applyBorder="1" applyAlignment="1">
      <alignment horizontal="left"/>
    </xf>
    <xf numFmtId="0" fontId="5" fillId="4" borderId="3" xfId="0" applyFont="1" applyFill="1" applyBorder="1" applyAlignment="1" applyProtection="1">
      <alignment horizontal="left"/>
      <protection locked="0"/>
    </xf>
    <xf numFmtId="0" fontId="5" fillId="4" borderId="4" xfId="0" applyFont="1" applyFill="1" applyBorder="1" applyAlignment="1" applyProtection="1">
      <alignment horizontal="left"/>
      <protection locked="0"/>
    </xf>
    <xf numFmtId="0" fontId="5" fillId="4" borderId="5" xfId="0" applyFont="1" applyFill="1" applyBorder="1" applyAlignment="1" applyProtection="1">
      <alignment horizontal="left"/>
      <protection locked="0"/>
    </xf>
    <xf numFmtId="0" fontId="3" fillId="0" borderId="0" xfId="0" applyFont="1" applyAlignment="1">
      <alignment horizontal="left" vertical="center" wrapText="1"/>
    </xf>
    <xf numFmtId="0" fontId="3" fillId="0" borderId="0" xfId="0" applyFont="1" applyAlignment="1">
      <alignment horizontal="left" vertical="center"/>
    </xf>
    <xf numFmtId="0" fontId="13" fillId="0" borderId="0" xfId="0" applyFont="1" applyFill="1" applyBorder="1" applyAlignment="1">
      <alignment horizontal="left"/>
    </xf>
    <xf numFmtId="0" fontId="13" fillId="2" borderId="0" xfId="0" applyFont="1" applyFill="1" applyAlignment="1">
      <alignment horizontal="left"/>
    </xf>
    <xf numFmtId="0" fontId="16" fillId="0" borderId="0" xfId="0" applyFont="1" applyFill="1" applyAlignment="1">
      <alignment horizontal="left" vertical="center"/>
    </xf>
    <xf numFmtId="0" fontId="5" fillId="6" borderId="3" xfId="0" applyFont="1" applyFill="1" applyBorder="1" applyAlignment="1" applyProtection="1">
      <alignment horizontal="center"/>
      <protection locked="0"/>
    </xf>
    <xf numFmtId="0" fontId="5" fillId="6" borderId="4" xfId="0" applyFont="1" applyFill="1" applyBorder="1" applyAlignment="1" applyProtection="1">
      <alignment horizontal="center"/>
      <protection locked="0"/>
    </xf>
    <xf numFmtId="0" fontId="5" fillId="6" borderId="5" xfId="0" applyFont="1" applyFill="1" applyBorder="1" applyAlignment="1" applyProtection="1">
      <alignment horizontal="center"/>
      <protection locked="0"/>
    </xf>
    <xf numFmtId="0" fontId="7" fillId="0" borderId="0" xfId="0" applyFont="1" applyFill="1" applyAlignment="1" applyProtection="1">
      <alignment horizontal="left" vertical="center" wrapText="1"/>
    </xf>
    <xf numFmtId="0" fontId="7" fillId="0" borderId="0" xfId="0" applyFont="1" applyFill="1" applyAlignment="1" applyProtection="1">
      <alignment vertical="center" wrapText="1"/>
    </xf>
    <xf numFmtId="0" fontId="9" fillId="3" borderId="3" xfId="0" applyFont="1" applyFill="1" applyBorder="1" applyAlignment="1" applyProtection="1">
      <alignment horizontal="center"/>
    </xf>
    <xf numFmtId="0" fontId="9" fillId="3" borderId="4" xfId="0" applyFont="1" applyFill="1" applyBorder="1" applyAlignment="1" applyProtection="1">
      <alignment horizontal="center"/>
    </xf>
    <xf numFmtId="0" fontId="9" fillId="3" borderId="5" xfId="0" applyFont="1" applyFill="1" applyBorder="1" applyAlignment="1" applyProtection="1">
      <alignment horizontal="center"/>
    </xf>
    <xf numFmtId="0" fontId="13" fillId="2" borderId="0" xfId="0" applyFont="1" applyFill="1" applyBorder="1" applyAlignment="1">
      <alignment horizontal="center" vertical="center" wrapText="1"/>
    </xf>
    <xf numFmtId="0" fontId="13" fillId="2" borderId="0" xfId="0" applyFont="1" applyFill="1" applyBorder="1" applyAlignment="1">
      <alignment horizontal="center"/>
    </xf>
    <xf numFmtId="0" fontId="5" fillId="2" borderId="0" xfId="0" applyFont="1" applyFill="1" applyBorder="1" applyAlignment="1">
      <alignment horizontal="center"/>
    </xf>
    <xf numFmtId="0" fontId="5" fillId="0" borderId="0" xfId="0" applyFont="1" applyAlignment="1">
      <alignment horizontal="left" vertical="center"/>
    </xf>
    <xf numFmtId="0" fontId="5" fillId="0" borderId="0" xfId="0" applyFont="1" applyAlignment="1">
      <alignment horizontal="left"/>
    </xf>
    <xf numFmtId="0" fontId="13" fillId="0" borderId="0" xfId="0" applyFont="1" applyAlignment="1">
      <alignment horizontal="right" wrapText="1"/>
    </xf>
    <xf numFmtId="0" fontId="5" fillId="0" borderId="0" xfId="0" applyFont="1" applyAlignment="1">
      <alignment horizontal="right"/>
    </xf>
    <xf numFmtId="0" fontId="5" fillId="0" borderId="0" xfId="0" applyFont="1" applyAlignment="1">
      <alignment horizontal="left" wrapText="1"/>
    </xf>
    <xf numFmtId="0" fontId="5" fillId="0" borderId="0" xfId="0" applyFont="1" applyFill="1" applyBorder="1" applyAlignment="1" applyProtection="1">
      <alignment horizontal="center" vertical="center"/>
    </xf>
    <xf numFmtId="0" fontId="17" fillId="5" borderId="3" xfId="0" applyFont="1" applyFill="1" applyBorder="1" applyAlignment="1">
      <alignment horizontal="center" vertical="center"/>
    </xf>
    <xf numFmtId="0" fontId="17" fillId="5" borderId="5" xfId="0" applyFont="1" applyFill="1" applyBorder="1" applyAlignment="1">
      <alignment horizontal="center" vertical="center"/>
    </xf>
    <xf numFmtId="0" fontId="5" fillId="4" borderId="13" xfId="0" applyFont="1" applyFill="1" applyBorder="1" applyAlignment="1">
      <alignment horizontal="center" vertical="center"/>
    </xf>
    <xf numFmtId="0" fontId="5" fillId="4" borderId="14" xfId="0" applyFont="1" applyFill="1" applyBorder="1" applyAlignment="1">
      <alignment horizontal="center" vertical="center"/>
    </xf>
    <xf numFmtId="0" fontId="5" fillId="2" borderId="0" xfId="0" applyFont="1" applyFill="1" applyBorder="1" applyAlignment="1">
      <alignment horizontal="center" vertical="center"/>
    </xf>
    <xf numFmtId="0" fontId="5" fillId="4" borderId="4" xfId="0" applyFont="1" applyFill="1" applyBorder="1" applyAlignment="1" applyProtection="1">
      <alignment horizontal="center" vertical="center"/>
      <protection locked="0"/>
    </xf>
    <xf numFmtId="0" fontId="5" fillId="4" borderId="3" xfId="0" applyFont="1" applyFill="1" applyBorder="1" applyAlignment="1" applyProtection="1">
      <alignment horizontal="center" vertical="center"/>
    </xf>
    <xf numFmtId="0" fontId="5" fillId="4" borderId="5" xfId="0" applyFont="1" applyFill="1" applyBorder="1" applyAlignment="1" applyProtection="1">
      <alignment horizontal="center" vertical="center"/>
    </xf>
    <xf numFmtId="0" fontId="19" fillId="0" borderId="0" xfId="0" applyFont="1" applyAlignment="1">
      <alignment horizontal="left" wrapText="1"/>
    </xf>
    <xf numFmtId="0" fontId="18" fillId="0" borderId="0" xfId="0" applyFont="1" applyAlignment="1">
      <alignment horizontal="left"/>
    </xf>
    <xf numFmtId="0" fontId="5" fillId="0" borderId="0" xfId="0" applyFont="1" applyAlignment="1">
      <alignment horizontal="right" vertical="center" wrapText="1"/>
    </xf>
    <xf numFmtId="0" fontId="5" fillId="0" borderId="15" xfId="0" applyFont="1" applyBorder="1" applyAlignment="1">
      <alignment horizontal="right" vertical="center" wrapText="1"/>
    </xf>
    <xf numFmtId="0" fontId="6" fillId="0" borderId="0" xfId="0" applyFont="1" applyFill="1" applyAlignment="1" applyProtection="1">
      <alignment horizontal="center" vertical="top" wrapText="1"/>
    </xf>
    <xf numFmtId="0" fontId="6" fillId="0" borderId="0" xfId="0" applyFont="1" applyFill="1" applyAlignment="1" applyProtection="1">
      <alignment horizontal="center" vertical="top"/>
    </xf>
    <xf numFmtId="0" fontId="5" fillId="6" borderId="6" xfId="0" applyFont="1" applyFill="1" applyBorder="1" applyAlignment="1" applyProtection="1">
      <alignment horizontal="center" vertical="center" wrapText="1"/>
      <protection locked="0"/>
    </xf>
    <xf numFmtId="0" fontId="5" fillId="6" borderId="16" xfId="0" applyFont="1" applyFill="1" applyBorder="1" applyAlignment="1" applyProtection="1">
      <alignment horizontal="center" vertical="center" wrapText="1"/>
      <protection locked="0"/>
    </xf>
    <xf numFmtId="0" fontId="5" fillId="6" borderId="7" xfId="0" applyFont="1" applyFill="1" applyBorder="1" applyAlignment="1" applyProtection="1">
      <alignment horizontal="center" vertical="center" wrapText="1"/>
      <protection locked="0"/>
    </xf>
    <xf numFmtId="0" fontId="5" fillId="6" borderId="8" xfId="0" applyFont="1" applyFill="1" applyBorder="1" applyAlignment="1" applyProtection="1">
      <alignment horizontal="center" vertical="center" wrapText="1"/>
      <protection locked="0"/>
    </xf>
    <xf numFmtId="0" fontId="5" fillId="6" borderId="0" xfId="0" applyFont="1" applyFill="1" applyBorder="1" applyAlignment="1" applyProtection="1">
      <alignment horizontal="center" vertical="center" wrapText="1"/>
      <protection locked="0"/>
    </xf>
    <xf numFmtId="0" fontId="5" fillId="6" borderId="9" xfId="0" applyFont="1" applyFill="1" applyBorder="1" applyAlignment="1" applyProtection="1">
      <alignment horizontal="center" vertical="center" wrapText="1"/>
      <protection locked="0"/>
    </xf>
    <xf numFmtId="0" fontId="5" fillId="6" borderId="10" xfId="0" applyFont="1" applyFill="1" applyBorder="1" applyAlignment="1" applyProtection="1">
      <alignment horizontal="center" vertical="center" wrapText="1"/>
      <protection locked="0"/>
    </xf>
    <xf numFmtId="0" fontId="5" fillId="6" borderId="11" xfId="0" applyFont="1" applyFill="1" applyBorder="1" applyAlignment="1" applyProtection="1">
      <alignment horizontal="center" vertical="center" wrapText="1"/>
      <protection locked="0"/>
    </xf>
    <xf numFmtId="0" fontId="5" fillId="6" borderId="12" xfId="0" applyFont="1" applyFill="1" applyBorder="1" applyAlignment="1" applyProtection="1">
      <alignment horizontal="center" vertical="center" wrapText="1"/>
      <protection locked="0"/>
    </xf>
    <xf numFmtId="0" fontId="13" fillId="0" borderId="0" xfId="0" applyFont="1" applyAlignment="1">
      <alignment horizontal="right" vertical="center" wrapText="1"/>
    </xf>
    <xf numFmtId="0" fontId="5" fillId="0" borderId="0" xfId="0" applyFont="1" applyFill="1" applyAlignment="1">
      <alignment horizontal="left" wrapText="1"/>
    </xf>
    <xf numFmtId="0" fontId="29" fillId="0" borderId="0" xfId="0" applyFont="1" applyBorder="1" applyAlignment="1">
      <alignment horizontal="center"/>
    </xf>
    <xf numFmtId="0" fontId="29" fillId="0" borderId="0" xfId="0" applyFont="1" applyFill="1" applyAlignment="1">
      <alignment horizontal="center"/>
    </xf>
    <xf numFmtId="0" fontId="13" fillId="2" borderId="0" xfId="0" applyFont="1" applyFill="1" applyAlignment="1" applyProtection="1">
      <alignment horizontal="left" vertical="center" wrapText="1"/>
    </xf>
    <xf numFmtId="0" fontId="5" fillId="0" borderId="0" xfId="0" applyFont="1" applyProtection="1"/>
    <xf numFmtId="0" fontId="13" fillId="2" borderId="0" xfId="0" applyFont="1" applyFill="1" applyAlignment="1" applyProtection="1">
      <alignment horizontal="left" vertical="center" wrapText="1"/>
    </xf>
    <xf numFmtId="0" fontId="13" fillId="0" borderId="0" xfId="0" applyFont="1" applyFill="1" applyBorder="1" applyAlignment="1" applyProtection="1">
      <alignment horizontal="left" wrapText="1"/>
    </xf>
    <xf numFmtId="0" fontId="13" fillId="2" borderId="0" xfId="0" applyFont="1" applyFill="1" applyBorder="1" applyAlignment="1" applyProtection="1">
      <alignment wrapText="1"/>
    </xf>
    <xf numFmtId="0" fontId="13" fillId="2" borderId="0" xfId="0" applyFont="1" applyFill="1" applyBorder="1" applyAlignment="1" applyProtection="1">
      <alignment vertical="center" wrapText="1"/>
    </xf>
    <xf numFmtId="0" fontId="5" fillId="2" borderId="9" xfId="0" applyFont="1" applyFill="1" applyBorder="1" applyAlignment="1" applyProtection="1"/>
    <xf numFmtId="0" fontId="12" fillId="3" borderId="3" xfId="0" applyFont="1" applyFill="1" applyBorder="1" applyAlignment="1" applyProtection="1">
      <alignment horizontal="center"/>
    </xf>
    <xf numFmtId="0" fontId="12" fillId="3" borderId="4" xfId="0" applyFont="1" applyFill="1" applyBorder="1" applyAlignment="1" applyProtection="1">
      <alignment horizontal="center"/>
    </xf>
    <xf numFmtId="0" fontId="12" fillId="3" borderId="5" xfId="0" applyFont="1" applyFill="1" applyBorder="1" applyAlignment="1" applyProtection="1">
      <alignment horizontal="center"/>
    </xf>
    <xf numFmtId="0" fontId="5" fillId="0" borderId="9" xfId="0" applyFont="1" applyFill="1" applyBorder="1" applyAlignment="1" applyProtection="1">
      <alignment vertical="center" wrapText="1"/>
    </xf>
    <xf numFmtId="0" fontId="5" fillId="0" borderId="0" xfId="0" applyFont="1" applyFill="1" applyBorder="1" applyAlignment="1" applyProtection="1">
      <alignment vertical="center" wrapText="1"/>
    </xf>
    <xf numFmtId="0" fontId="7" fillId="2" borderId="0" xfId="0" applyFont="1" applyFill="1" applyAlignment="1" applyProtection="1">
      <alignment horizontal="left" vertical="center" wrapText="1"/>
    </xf>
    <xf numFmtId="0" fontId="0" fillId="0" borderId="0" xfId="0" applyNumberFormat="1"/>
    <xf numFmtId="0" fontId="5" fillId="6" borderId="3" xfId="0" applyFont="1" applyFill="1" applyBorder="1" applyAlignment="1" applyProtection="1">
      <alignment horizontal="center" vertical="center"/>
      <protection locked="0"/>
    </xf>
    <xf numFmtId="0" fontId="5" fillId="6" borderId="4" xfId="0" applyFont="1" applyFill="1" applyBorder="1" applyAlignment="1" applyProtection="1">
      <alignment horizontal="center" vertical="center"/>
      <protection locked="0"/>
    </xf>
    <xf numFmtId="0" fontId="5" fillId="6" borderId="5" xfId="0" applyFont="1" applyFill="1" applyBorder="1" applyAlignment="1" applyProtection="1">
      <alignment horizontal="center" vertical="center"/>
      <protection locked="0"/>
    </xf>
    <xf numFmtId="167" fontId="5" fillId="6" borderId="3" xfId="0" applyNumberFormat="1" applyFont="1" applyFill="1" applyBorder="1" applyAlignment="1" applyProtection="1">
      <alignment horizontal="center" vertical="center"/>
      <protection locked="0"/>
    </xf>
    <xf numFmtId="167" fontId="5" fillId="6" borderId="4" xfId="0" applyNumberFormat="1" applyFont="1" applyFill="1" applyBorder="1" applyAlignment="1" applyProtection="1">
      <alignment horizontal="center" vertical="center"/>
      <protection locked="0"/>
    </xf>
    <xf numFmtId="167" fontId="5" fillId="6" borderId="5" xfId="0" applyNumberFormat="1" applyFont="1" applyFill="1" applyBorder="1" applyAlignment="1" applyProtection="1">
      <alignment horizontal="center" vertical="center"/>
      <protection locked="0"/>
    </xf>
    <xf numFmtId="0" fontId="35" fillId="6" borderId="3" xfId="0" applyFont="1" applyFill="1" applyBorder="1" applyAlignment="1" applyProtection="1">
      <alignment horizontal="center" vertical="center"/>
      <protection locked="0"/>
    </xf>
    <xf numFmtId="0" fontId="35" fillId="6" borderId="5" xfId="0" applyFont="1" applyFill="1" applyBorder="1" applyAlignment="1" applyProtection="1">
      <alignment horizontal="center" vertical="center"/>
      <protection locked="0"/>
    </xf>
    <xf numFmtId="0" fontId="35" fillId="4" borderId="3" xfId="0" applyFont="1" applyFill="1" applyBorder="1" applyAlignment="1" applyProtection="1">
      <alignment horizontal="center" vertical="center"/>
      <protection locked="0"/>
    </xf>
    <xf numFmtId="0" fontId="35" fillId="4" borderId="5" xfId="0" applyFont="1" applyFill="1" applyBorder="1" applyAlignment="1" applyProtection="1">
      <alignment horizontal="center" vertical="center"/>
      <protection locked="0"/>
    </xf>
    <xf numFmtId="0" fontId="5" fillId="5" borderId="2" xfId="0" applyFont="1" applyFill="1" applyBorder="1" applyAlignment="1">
      <alignment horizontal="center" vertical="center"/>
    </xf>
    <xf numFmtId="0" fontId="5" fillId="3" borderId="3" xfId="0" applyFont="1" applyFill="1" applyBorder="1" applyAlignment="1" applyProtection="1">
      <alignment horizontal="center" vertical="center"/>
    </xf>
    <xf numFmtId="0" fontId="5" fillId="3" borderId="5" xfId="0" applyFont="1" applyFill="1" applyBorder="1" applyAlignment="1" applyProtection="1">
      <alignment horizontal="center" vertical="center"/>
    </xf>
    <xf numFmtId="0" fontId="5" fillId="5" borderId="3" xfId="0" applyFont="1" applyFill="1" applyBorder="1" applyAlignment="1" applyProtection="1">
      <alignment horizontal="center" vertical="center"/>
    </xf>
    <xf numFmtId="0" fontId="5" fillId="5" borderId="5" xfId="0" applyFont="1" applyFill="1" applyBorder="1" applyAlignment="1" applyProtection="1">
      <alignment horizontal="center" vertical="center"/>
    </xf>
    <xf numFmtId="0" fontId="5" fillId="5" borderId="2" xfId="0" applyFont="1" applyFill="1" applyBorder="1" applyAlignment="1" applyProtection="1">
      <alignment horizontal="center" vertical="center"/>
    </xf>
    <xf numFmtId="0" fontId="0" fillId="0" borderId="0" xfId="0" applyAlignment="1">
      <alignment horizontal="center" wrapText="1"/>
    </xf>
    <xf numFmtId="0" fontId="0" fillId="0" borderId="0" xfId="0" applyAlignment="1"/>
    <xf numFmtId="0" fontId="0" fillId="9" borderId="0" xfId="0" applyFill="1" applyAlignment="1"/>
    <xf numFmtId="0" fontId="37" fillId="0" borderId="0" xfId="0" applyFont="1" applyFill="1" applyProtection="1"/>
    <xf numFmtId="0" fontId="38" fillId="0" borderId="0" xfId="0" applyFont="1" applyFill="1" applyBorder="1" applyAlignment="1" applyProtection="1">
      <alignment wrapText="1"/>
    </xf>
    <xf numFmtId="0" fontId="37" fillId="0" borderId="0" xfId="0" applyFont="1" applyFill="1" applyBorder="1" applyProtection="1"/>
    <xf numFmtId="0" fontId="37" fillId="2" borderId="0" xfId="0" applyFont="1" applyFill="1" applyBorder="1" applyAlignment="1" applyProtection="1"/>
    <xf numFmtId="0" fontId="37" fillId="2" borderId="0" xfId="0" applyFont="1" applyFill="1" applyBorder="1" applyAlignment="1" applyProtection="1">
      <alignment horizontal="left" vertical="center"/>
    </xf>
    <xf numFmtId="0" fontId="33" fillId="0" borderId="0" xfId="0" applyFont="1" applyFill="1" applyAlignment="1" applyProtection="1">
      <alignment horizontal="left" vertical="center"/>
    </xf>
    <xf numFmtId="0" fontId="37" fillId="2" borderId="0" xfId="0" applyFont="1" applyFill="1" applyBorder="1" applyAlignment="1" applyProtection="1">
      <alignment horizontal="left" vertical="center" wrapText="1"/>
    </xf>
    <xf numFmtId="0" fontId="37" fillId="2" borderId="0" xfId="0" applyFont="1" applyFill="1" applyBorder="1" applyAlignment="1" applyProtection="1">
      <alignment wrapText="1"/>
    </xf>
    <xf numFmtId="0" fontId="33" fillId="0" borderId="0" xfId="0" applyFont="1" applyFill="1" applyProtection="1"/>
    <xf numFmtId="0" fontId="37" fillId="0" borderId="0" xfId="0" applyFont="1" applyProtection="1"/>
    <xf numFmtId="0" fontId="37" fillId="2" borderId="0" xfId="0" applyFont="1" applyFill="1" applyBorder="1" applyAlignment="1" applyProtection="1">
      <alignment horizontal="center" vertical="center"/>
    </xf>
    <xf numFmtId="0" fontId="38" fillId="0" borderId="0" xfId="0" applyFont="1" applyFill="1" applyBorder="1" applyProtection="1"/>
    <xf numFmtId="0" fontId="38" fillId="2" borderId="0" xfId="0" applyFont="1" applyFill="1" applyBorder="1" applyAlignment="1" applyProtection="1"/>
    <xf numFmtId="0" fontId="32" fillId="0" borderId="0" xfId="0" applyFont="1" applyFill="1" applyProtection="1"/>
    <xf numFmtId="0" fontId="33" fillId="0" borderId="0" xfId="0" applyFont="1" applyProtection="1"/>
    <xf numFmtId="0" fontId="33" fillId="0" borderId="0" xfId="0" applyFont="1" applyFill="1" applyBorder="1" applyProtection="1"/>
    <xf numFmtId="0" fontId="5" fillId="0" borderId="0" xfId="0" applyFont="1" applyAlignment="1">
      <alignment horizontal="center"/>
    </xf>
    <xf numFmtId="0" fontId="41" fillId="0" borderId="0" xfId="0" applyFont="1" applyAlignment="1">
      <alignment horizontal="center" wrapText="1"/>
    </xf>
    <xf numFmtId="0" fontId="42" fillId="2" borderId="0" xfId="1" applyFont="1" applyFill="1" applyBorder="1" applyAlignment="1">
      <alignment horizontal="center" vertical="center"/>
    </xf>
    <xf numFmtId="0" fontId="5" fillId="9" borderId="0" xfId="0" applyFont="1" applyFill="1" applyAlignment="1">
      <alignment horizontal="center" vertical="center" wrapText="1"/>
    </xf>
    <xf numFmtId="0" fontId="5" fillId="9" borderId="0" xfId="0" applyFont="1" applyFill="1" applyAlignment="1">
      <alignment horizontal="center" vertical="center"/>
    </xf>
    <xf numFmtId="0" fontId="40" fillId="2" borderId="0" xfId="1" applyFont="1" applyFill="1" applyBorder="1" applyAlignment="1">
      <alignment horizontal="center" vertical="center"/>
    </xf>
    <xf numFmtId="0" fontId="5" fillId="0" borderId="0" xfId="0" applyFont="1" applyAlignment="1">
      <alignment horizontal="center" vertical="top" wrapText="1"/>
    </xf>
    <xf numFmtId="0" fontId="5" fillId="0" borderId="0" xfId="0" applyFont="1" applyAlignment="1">
      <alignment horizontal="center" vertical="top"/>
    </xf>
  </cellXfs>
  <cellStyles count="2">
    <cellStyle name="Hyperlink" xfId="1" builtinId="8"/>
    <cellStyle name="Normal" xfId="0" builtinId="0"/>
  </cellStyles>
  <dxfs count="4">
    <dxf>
      <fill>
        <patternFill>
          <bgColor rgb="FF35BDB2"/>
        </patternFill>
      </fill>
    </dxf>
    <dxf>
      <fill>
        <patternFill>
          <bgColor rgb="FF35BDB2"/>
        </patternFill>
      </fill>
    </dxf>
    <dxf>
      <fill>
        <patternFill>
          <bgColor rgb="FF35BDB2"/>
        </patternFill>
      </fill>
    </dxf>
    <dxf>
      <fill>
        <patternFill patternType="solid">
          <fgColor rgb="FF35BDB2"/>
          <bgColor rgb="FF35BDB2"/>
        </patternFill>
      </fill>
    </dxf>
  </dxfs>
  <tableStyles count="0" defaultTableStyle="TableStyleMedium2" defaultPivotStyle="PivotStyleLight16"/>
  <colors>
    <mruColors>
      <color rgb="FF35BDB2"/>
      <color rgb="FF717073"/>
      <color rgb="FFF05333"/>
      <color rgb="FF00FF00"/>
      <color rgb="FF00AEE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hyperlink" Target="#'Data Sharing Agreement'!A1"/><Relationship Id="rId1" Type="http://schemas.openxmlformats.org/officeDocument/2006/relationships/image" Target="../media/image16.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image" Target="../media/image6.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3</xdr:col>
      <xdr:colOff>1230181</xdr:colOff>
      <xdr:row>0</xdr:row>
      <xdr:rowOff>85725</xdr:rowOff>
    </xdr:from>
    <xdr:to>
      <xdr:col>6</xdr:col>
      <xdr:colOff>335241</xdr:colOff>
      <xdr:row>6</xdr:row>
      <xdr:rowOff>64949</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16281" y="85725"/>
          <a:ext cx="2444871" cy="11222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1066800</xdr:colOff>
          <xdr:row>79</xdr:row>
          <xdr:rowOff>114300</xdr:rowOff>
        </xdr:from>
        <xdr:to>
          <xdr:col>10</xdr:col>
          <xdr:colOff>19050</xdr:colOff>
          <xdr:row>81</xdr:row>
          <xdr:rowOff>38100</xdr:rowOff>
        </xdr:to>
        <xdr:sp macro="" textlink="">
          <xdr:nvSpPr>
            <xdr:cNvPr id="1036" name="Sec3Q1" hidden="1">
              <a:extLst>
                <a:ext uri="{63B3BB69-23CF-44E3-9099-C40C66FF867C}">
                  <a14:compatExt spid="_x0000_s10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1066800</xdr:colOff>
          <xdr:row>82</xdr:row>
          <xdr:rowOff>104775</xdr:rowOff>
        </xdr:from>
        <xdr:to>
          <xdr:col>10</xdr:col>
          <xdr:colOff>28575</xdr:colOff>
          <xdr:row>82</xdr:row>
          <xdr:rowOff>409575</xdr:rowOff>
        </xdr:to>
        <xdr:sp macro="" textlink="">
          <xdr:nvSpPr>
            <xdr:cNvPr id="1043" name="ComboBox1" hidden="1">
              <a:extLst>
                <a:ext uri="{63B3BB69-23CF-44E3-9099-C40C66FF867C}">
                  <a14:compatExt spid="_x0000_s10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1047750</xdr:colOff>
          <xdr:row>157</xdr:row>
          <xdr:rowOff>66675</xdr:rowOff>
        </xdr:from>
        <xdr:to>
          <xdr:col>10</xdr:col>
          <xdr:colOff>19050</xdr:colOff>
          <xdr:row>158</xdr:row>
          <xdr:rowOff>9525</xdr:rowOff>
        </xdr:to>
        <xdr:sp macro="" textlink="">
          <xdr:nvSpPr>
            <xdr:cNvPr id="1045" name="ComboBox2" hidden="1">
              <a:extLst>
                <a:ext uri="{63B3BB69-23CF-44E3-9099-C40C66FF867C}">
                  <a14:compatExt spid="_x0000_s10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1057275</xdr:colOff>
          <xdr:row>265</xdr:row>
          <xdr:rowOff>152400</xdr:rowOff>
        </xdr:from>
        <xdr:to>
          <xdr:col>10</xdr:col>
          <xdr:colOff>57150</xdr:colOff>
          <xdr:row>267</xdr:row>
          <xdr:rowOff>57150</xdr:rowOff>
        </xdr:to>
        <xdr:sp macro="" textlink="">
          <xdr:nvSpPr>
            <xdr:cNvPr id="1046" name="ComboBox3" hidden="1">
              <a:extLst>
                <a:ext uri="{63B3BB69-23CF-44E3-9099-C40C66FF867C}">
                  <a14:compatExt spid="_x0000_s10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1047750</xdr:colOff>
          <xdr:row>276</xdr:row>
          <xdr:rowOff>66675</xdr:rowOff>
        </xdr:from>
        <xdr:to>
          <xdr:col>10</xdr:col>
          <xdr:colOff>47625</xdr:colOff>
          <xdr:row>276</xdr:row>
          <xdr:rowOff>371475</xdr:rowOff>
        </xdr:to>
        <xdr:sp macro="" textlink="">
          <xdr:nvSpPr>
            <xdr:cNvPr id="1047" name="ComboBox4" hidden="1">
              <a:extLst>
                <a:ext uri="{63B3BB69-23CF-44E3-9099-C40C66FF867C}">
                  <a14:compatExt spid="_x0000_s10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1066800</xdr:colOff>
          <xdr:row>78</xdr:row>
          <xdr:rowOff>104775</xdr:rowOff>
        </xdr:from>
        <xdr:to>
          <xdr:col>10</xdr:col>
          <xdr:colOff>9525</xdr:colOff>
          <xdr:row>78</xdr:row>
          <xdr:rowOff>419100</xdr:rowOff>
        </xdr:to>
        <xdr:sp macro="" textlink="">
          <xdr:nvSpPr>
            <xdr:cNvPr id="1049" name="ComboBox5" hidden="1">
              <a:extLst>
                <a:ext uri="{63B3BB69-23CF-44E3-9099-C40C66FF867C}">
                  <a14:compatExt spid="_x0000_s10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1009650</xdr:colOff>
          <xdr:row>72</xdr:row>
          <xdr:rowOff>152400</xdr:rowOff>
        </xdr:from>
        <xdr:to>
          <xdr:col>10</xdr:col>
          <xdr:colOff>9525</xdr:colOff>
          <xdr:row>74</xdr:row>
          <xdr:rowOff>76200</xdr:rowOff>
        </xdr:to>
        <xdr:sp macro="" textlink="">
          <xdr:nvSpPr>
            <xdr:cNvPr id="1050" name="ComboBox6" hidden="1">
              <a:extLst>
                <a:ext uri="{63B3BB69-23CF-44E3-9099-C40C66FF867C}">
                  <a14:compatExt spid="_x0000_s10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40</xdr:row>
          <xdr:rowOff>9525</xdr:rowOff>
        </xdr:from>
        <xdr:to>
          <xdr:col>4</xdr:col>
          <xdr:colOff>781050</xdr:colOff>
          <xdr:row>41</xdr:row>
          <xdr:rowOff>0</xdr:rowOff>
        </xdr:to>
        <xdr:sp macro="" textlink="">
          <xdr:nvSpPr>
            <xdr:cNvPr id="1052" name="ComboBox7" hidden="1">
              <a:extLst>
                <a:ext uri="{63B3BB69-23CF-44E3-9099-C40C66FF867C}">
                  <a14:compatExt spid="_x0000_s10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42</xdr:row>
          <xdr:rowOff>9525</xdr:rowOff>
        </xdr:from>
        <xdr:to>
          <xdr:col>4</xdr:col>
          <xdr:colOff>790575</xdr:colOff>
          <xdr:row>43</xdr:row>
          <xdr:rowOff>0</xdr:rowOff>
        </xdr:to>
        <xdr:sp macro="" textlink="">
          <xdr:nvSpPr>
            <xdr:cNvPr id="1053" name="ComboBox8" hidden="1">
              <a:extLst>
                <a:ext uri="{63B3BB69-23CF-44E3-9099-C40C66FF867C}">
                  <a14:compatExt spid="_x0000_s10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40</xdr:row>
          <xdr:rowOff>9525</xdr:rowOff>
        </xdr:from>
        <xdr:to>
          <xdr:col>6</xdr:col>
          <xdr:colOff>714375</xdr:colOff>
          <xdr:row>41</xdr:row>
          <xdr:rowOff>0</xdr:rowOff>
        </xdr:to>
        <xdr:sp macro="" textlink="">
          <xdr:nvSpPr>
            <xdr:cNvPr id="1054" name="ComboBox9" hidden="1">
              <a:extLst>
                <a:ext uri="{63B3BB69-23CF-44E3-9099-C40C66FF867C}">
                  <a14:compatExt spid="_x0000_s10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42</xdr:row>
          <xdr:rowOff>9525</xdr:rowOff>
        </xdr:from>
        <xdr:to>
          <xdr:col>6</xdr:col>
          <xdr:colOff>714375</xdr:colOff>
          <xdr:row>43</xdr:row>
          <xdr:rowOff>0</xdr:rowOff>
        </xdr:to>
        <xdr:sp macro="" textlink="">
          <xdr:nvSpPr>
            <xdr:cNvPr id="1055" name="ComboBox10" hidden="1">
              <a:extLst>
                <a:ext uri="{63B3BB69-23CF-44E3-9099-C40C66FF867C}">
                  <a14:compatExt spid="_x0000_s10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704850</xdr:colOff>
          <xdr:row>40</xdr:row>
          <xdr:rowOff>9525</xdr:rowOff>
        </xdr:from>
        <xdr:to>
          <xdr:col>8</xdr:col>
          <xdr:colOff>704850</xdr:colOff>
          <xdr:row>41</xdr:row>
          <xdr:rowOff>0</xdr:rowOff>
        </xdr:to>
        <xdr:sp macro="" textlink="">
          <xdr:nvSpPr>
            <xdr:cNvPr id="1056" name="ComboBox11" hidden="1">
              <a:extLst>
                <a:ext uri="{63B3BB69-23CF-44E3-9099-C40C66FF867C}">
                  <a14:compatExt spid="_x0000_s10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704850</xdr:colOff>
          <xdr:row>42</xdr:row>
          <xdr:rowOff>9525</xdr:rowOff>
        </xdr:from>
        <xdr:to>
          <xdr:col>8</xdr:col>
          <xdr:colOff>704850</xdr:colOff>
          <xdr:row>43</xdr:row>
          <xdr:rowOff>0</xdr:rowOff>
        </xdr:to>
        <xdr:sp macro="" textlink="">
          <xdr:nvSpPr>
            <xdr:cNvPr id="1057" name="ComboBox12" hidden="1">
              <a:extLst>
                <a:ext uri="{63B3BB69-23CF-44E3-9099-C40C66FF867C}">
                  <a14:compatExt spid="_x0000_s10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45</xdr:row>
          <xdr:rowOff>28575</xdr:rowOff>
        </xdr:from>
        <xdr:to>
          <xdr:col>5</xdr:col>
          <xdr:colOff>514350</xdr:colOff>
          <xdr:row>46</xdr:row>
          <xdr:rowOff>19050</xdr:rowOff>
        </xdr:to>
        <xdr:sp macro="" textlink="">
          <xdr:nvSpPr>
            <xdr:cNvPr id="1059" name="ComboBox13" hidden="1">
              <a:extLst>
                <a:ext uri="{63B3BB69-23CF-44E3-9099-C40C66FF867C}">
                  <a14:compatExt spid="_x0000_s10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47</xdr:row>
          <xdr:rowOff>95250</xdr:rowOff>
        </xdr:from>
        <xdr:to>
          <xdr:col>9</xdr:col>
          <xdr:colOff>1171575</xdr:colOff>
          <xdr:row>48</xdr:row>
          <xdr:rowOff>28575</xdr:rowOff>
        </xdr:to>
        <xdr:sp macro="" textlink="">
          <xdr:nvSpPr>
            <xdr:cNvPr id="1060" name="ComboBox14" hidden="1">
              <a:extLst>
                <a:ext uri="{63B3BB69-23CF-44E3-9099-C40C66FF867C}">
                  <a14:compatExt spid="_x0000_s10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49</xdr:row>
          <xdr:rowOff>85725</xdr:rowOff>
        </xdr:from>
        <xdr:to>
          <xdr:col>9</xdr:col>
          <xdr:colOff>1171575</xdr:colOff>
          <xdr:row>57</xdr:row>
          <xdr:rowOff>47625</xdr:rowOff>
        </xdr:to>
        <xdr:sp macro="" textlink="">
          <xdr:nvSpPr>
            <xdr:cNvPr id="1062" name="ListBox1"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1047750</xdr:colOff>
          <xdr:row>245</xdr:row>
          <xdr:rowOff>123825</xdr:rowOff>
        </xdr:from>
        <xdr:to>
          <xdr:col>10</xdr:col>
          <xdr:colOff>9525</xdr:colOff>
          <xdr:row>245</xdr:row>
          <xdr:rowOff>428625</xdr:rowOff>
        </xdr:to>
        <xdr:sp macro="" textlink="">
          <xdr:nvSpPr>
            <xdr:cNvPr id="1064" name="ComboBox15" hidden="1">
              <a:extLst>
                <a:ext uri="{63B3BB69-23CF-44E3-9099-C40C66FF867C}">
                  <a14:compatExt spid="_x0000_s106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981075</xdr:colOff>
          <xdr:row>289</xdr:row>
          <xdr:rowOff>161925</xdr:rowOff>
        </xdr:from>
        <xdr:to>
          <xdr:col>10</xdr:col>
          <xdr:colOff>85725</xdr:colOff>
          <xdr:row>291</xdr:row>
          <xdr:rowOff>28575</xdr:rowOff>
        </xdr:to>
        <xdr:sp macro="" textlink="">
          <xdr:nvSpPr>
            <xdr:cNvPr id="1065" name="ComboBox16" hidden="1">
              <a:extLst>
                <a:ext uri="{63B3BB69-23CF-44E3-9099-C40C66FF867C}">
                  <a14:compatExt spid="_x0000_s106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1000125</xdr:colOff>
          <xdr:row>291</xdr:row>
          <xdr:rowOff>142875</xdr:rowOff>
        </xdr:from>
        <xdr:to>
          <xdr:col>10</xdr:col>
          <xdr:colOff>95250</xdr:colOff>
          <xdr:row>293</xdr:row>
          <xdr:rowOff>9525</xdr:rowOff>
        </xdr:to>
        <xdr:sp macro="" textlink="">
          <xdr:nvSpPr>
            <xdr:cNvPr id="1066" name="ComboBox17" hidden="1">
              <a:extLst>
                <a:ext uri="{63B3BB69-23CF-44E3-9099-C40C66FF867C}">
                  <a14:compatExt spid="_x0000_s106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990600</xdr:colOff>
          <xdr:row>293</xdr:row>
          <xdr:rowOff>142875</xdr:rowOff>
        </xdr:from>
        <xdr:to>
          <xdr:col>10</xdr:col>
          <xdr:colOff>95250</xdr:colOff>
          <xdr:row>295</xdr:row>
          <xdr:rowOff>9525</xdr:rowOff>
        </xdr:to>
        <xdr:sp macro="" textlink="">
          <xdr:nvSpPr>
            <xdr:cNvPr id="1067" name="ComboBox18" hidden="1">
              <a:extLst>
                <a:ext uri="{63B3BB69-23CF-44E3-9099-C40C66FF867C}">
                  <a14:compatExt spid="_x0000_s106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1057275</xdr:colOff>
          <xdr:row>253</xdr:row>
          <xdr:rowOff>171450</xdr:rowOff>
        </xdr:from>
        <xdr:to>
          <xdr:col>10</xdr:col>
          <xdr:colOff>19050</xdr:colOff>
          <xdr:row>254</xdr:row>
          <xdr:rowOff>66675</xdr:rowOff>
        </xdr:to>
        <xdr:sp macro="" textlink="">
          <xdr:nvSpPr>
            <xdr:cNvPr id="1068" name="ComboBox19" hidden="1">
              <a:extLst>
                <a:ext uri="{63B3BB69-23CF-44E3-9099-C40C66FF867C}">
                  <a14:compatExt spid="_x0000_s106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1047750</xdr:colOff>
          <xdr:row>308</xdr:row>
          <xdr:rowOff>114300</xdr:rowOff>
        </xdr:from>
        <xdr:to>
          <xdr:col>10</xdr:col>
          <xdr:colOff>9525</xdr:colOff>
          <xdr:row>309</xdr:row>
          <xdr:rowOff>38100</xdr:rowOff>
        </xdr:to>
        <xdr:sp macro="" textlink="">
          <xdr:nvSpPr>
            <xdr:cNvPr id="1069" name="ComboBox20" hidden="1">
              <a:extLst>
                <a:ext uri="{63B3BB69-23CF-44E3-9099-C40C66FF867C}">
                  <a14:compatExt spid="_x0000_s106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57</xdr:row>
          <xdr:rowOff>142875</xdr:rowOff>
        </xdr:from>
        <xdr:to>
          <xdr:col>7</xdr:col>
          <xdr:colOff>161925</xdr:colOff>
          <xdr:row>59</xdr:row>
          <xdr:rowOff>85725</xdr:rowOff>
        </xdr:to>
        <xdr:sp macro="" textlink="">
          <xdr:nvSpPr>
            <xdr:cNvPr id="1071" name="Sav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1013113</xdr:colOff>
      <xdr:row>449</xdr:row>
      <xdr:rowOff>173182</xdr:rowOff>
    </xdr:from>
    <xdr:to>
      <xdr:col>7</xdr:col>
      <xdr:colOff>277090</xdr:colOff>
      <xdr:row>452</xdr:row>
      <xdr:rowOff>103909</xdr:rowOff>
    </xdr:to>
    <xdr:sp macro="" textlink="">
      <xdr:nvSpPr>
        <xdr:cNvPr id="2" name="TextBox 1">
          <a:hlinkClick xmlns:r="http://schemas.openxmlformats.org/officeDocument/2006/relationships" r:id="rId2"/>
        </xdr:cNvPr>
        <xdr:cNvSpPr txBox="1"/>
      </xdr:nvSpPr>
      <xdr:spPr>
        <a:xfrm>
          <a:off x="3957204" y="127513773"/>
          <a:ext cx="3342409" cy="502227"/>
        </a:xfrm>
        <a:prstGeom prst="rect">
          <a:avLst/>
        </a:prstGeom>
        <a:solidFill>
          <a:srgbClr val="35BDB2"/>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Cabin" panose="020B0803050202020004" pitchFamily="34" charset="0"/>
            </a:rPr>
            <a:t>Data</a:t>
          </a:r>
          <a:r>
            <a:rPr lang="en-US" sz="1800" b="1" baseline="0">
              <a:solidFill>
                <a:schemeClr val="bg1"/>
              </a:solidFill>
              <a:latin typeface="Cabin" panose="020B0803050202020004" pitchFamily="34" charset="0"/>
            </a:rPr>
            <a:t> Sharing Agreement</a:t>
          </a:r>
          <a:endParaRPr lang="en-US" sz="1800" b="1">
            <a:solidFill>
              <a:schemeClr val="bg1"/>
            </a:solidFill>
            <a:latin typeface="Cabin" panose="020B08030502020200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10</xdr:row>
          <xdr:rowOff>161926</xdr:rowOff>
        </xdr:from>
        <xdr:to>
          <xdr:col>1</xdr:col>
          <xdr:colOff>419100</xdr:colOff>
          <xdr:row>12</xdr:row>
          <xdr:rowOff>47626</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13</xdr:row>
          <xdr:rowOff>66675</xdr:rowOff>
        </xdr:from>
        <xdr:to>
          <xdr:col>0</xdr:col>
          <xdr:colOff>476250</xdr:colOff>
          <xdr:row>15</xdr:row>
          <xdr:rowOff>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266701</xdr:colOff>
          <xdr:row>23</xdr:row>
          <xdr:rowOff>180975</xdr:rowOff>
        </xdr:from>
        <xdr:to>
          <xdr:col>9</xdr:col>
          <xdr:colOff>342901</xdr:colOff>
          <xdr:row>25</xdr:row>
          <xdr:rowOff>171450</xdr:rowOff>
        </xdr:to>
        <xdr:sp macro="" textlink="">
          <xdr:nvSpPr>
            <xdr:cNvPr id="4099" name="TextBox1"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27</xdr:row>
          <xdr:rowOff>180975</xdr:rowOff>
        </xdr:from>
        <xdr:to>
          <xdr:col>9</xdr:col>
          <xdr:colOff>352425</xdr:colOff>
          <xdr:row>29</xdr:row>
          <xdr:rowOff>171450</xdr:rowOff>
        </xdr:to>
        <xdr:sp macro="" textlink="">
          <xdr:nvSpPr>
            <xdr:cNvPr id="4100" name="TextBox2"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31</xdr:row>
          <xdr:rowOff>171450</xdr:rowOff>
        </xdr:from>
        <xdr:to>
          <xdr:col>9</xdr:col>
          <xdr:colOff>361950</xdr:colOff>
          <xdr:row>33</xdr:row>
          <xdr:rowOff>161925</xdr:rowOff>
        </xdr:to>
        <xdr:sp macro="" textlink="">
          <xdr:nvSpPr>
            <xdr:cNvPr id="4101" name="TextBox3"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161925</xdr:rowOff>
        </xdr:from>
        <xdr:to>
          <xdr:col>9</xdr:col>
          <xdr:colOff>342900</xdr:colOff>
          <xdr:row>38</xdr:row>
          <xdr:rowOff>0</xdr:rowOff>
        </xdr:to>
        <xdr:sp macro="" textlink="">
          <xdr:nvSpPr>
            <xdr:cNvPr id="4102" name="TextBox4" hidden="1">
              <a:extLst>
                <a:ext uri="{63B3BB69-23CF-44E3-9099-C40C66FF867C}">
                  <a14:compatExt spid="_x0000_s4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image" Target="../media/image6.emf"/><Relationship Id="rId26" Type="http://schemas.openxmlformats.org/officeDocument/2006/relationships/control" Target="../activeX/activeX14.xml"/><Relationship Id="rId39" Type="http://schemas.openxmlformats.org/officeDocument/2006/relationships/control" Target="../activeX/activeX22.xml"/><Relationship Id="rId21" Type="http://schemas.openxmlformats.org/officeDocument/2006/relationships/control" Target="../activeX/activeX11.xml"/><Relationship Id="rId34" Type="http://schemas.openxmlformats.org/officeDocument/2006/relationships/control" Target="../activeX/activeX19.xml"/><Relationship Id="rId7" Type="http://schemas.openxmlformats.org/officeDocument/2006/relationships/control" Target="../activeX/activeX3.xml"/><Relationship Id="rId2" Type="http://schemas.openxmlformats.org/officeDocument/2006/relationships/drawing" Target="../drawings/drawing1.xml"/><Relationship Id="rId16" Type="http://schemas.openxmlformats.org/officeDocument/2006/relationships/image" Target="../media/image5.emf"/><Relationship Id="rId20" Type="http://schemas.openxmlformats.org/officeDocument/2006/relationships/image" Target="../media/image7.emf"/><Relationship Id="rId29" Type="http://schemas.openxmlformats.org/officeDocument/2006/relationships/control" Target="../activeX/activeX16.xml"/><Relationship Id="rId41" Type="http://schemas.openxmlformats.org/officeDocument/2006/relationships/image" Target="../media/image15.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ontrol" Target="../activeX/activeX13.xml"/><Relationship Id="rId32" Type="http://schemas.openxmlformats.org/officeDocument/2006/relationships/control" Target="../activeX/activeX18.xml"/><Relationship Id="rId37" Type="http://schemas.openxmlformats.org/officeDocument/2006/relationships/control" Target="../activeX/activeX21.xml"/><Relationship Id="rId40" Type="http://schemas.openxmlformats.org/officeDocument/2006/relationships/control" Target="../activeX/activeX23.xml"/><Relationship Id="rId5" Type="http://schemas.openxmlformats.org/officeDocument/2006/relationships/image" Target="../media/image1.emf"/><Relationship Id="rId15" Type="http://schemas.openxmlformats.org/officeDocument/2006/relationships/control" Target="../activeX/activeX8.xml"/><Relationship Id="rId23" Type="http://schemas.openxmlformats.org/officeDocument/2006/relationships/image" Target="../media/image8.emf"/><Relationship Id="rId28" Type="http://schemas.openxmlformats.org/officeDocument/2006/relationships/image" Target="../media/image10.emf"/><Relationship Id="rId36" Type="http://schemas.openxmlformats.org/officeDocument/2006/relationships/control" Target="../activeX/activeX20.xml"/><Relationship Id="rId10" Type="http://schemas.openxmlformats.org/officeDocument/2006/relationships/image" Target="../media/image3.emf"/><Relationship Id="rId19" Type="http://schemas.openxmlformats.org/officeDocument/2006/relationships/control" Target="../activeX/activeX10.xml"/><Relationship Id="rId31"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image" Target="../media/image4.emf"/><Relationship Id="rId22" Type="http://schemas.openxmlformats.org/officeDocument/2006/relationships/control" Target="../activeX/activeX12.xml"/><Relationship Id="rId27" Type="http://schemas.openxmlformats.org/officeDocument/2006/relationships/control" Target="../activeX/activeX15.xml"/><Relationship Id="rId30" Type="http://schemas.openxmlformats.org/officeDocument/2006/relationships/control" Target="../activeX/activeX17.xml"/><Relationship Id="rId35" Type="http://schemas.openxmlformats.org/officeDocument/2006/relationships/image" Target="../media/image13.emf"/><Relationship Id="rId8" Type="http://schemas.openxmlformats.org/officeDocument/2006/relationships/image" Target="../media/image2.emf"/><Relationship Id="rId3" Type="http://schemas.openxmlformats.org/officeDocument/2006/relationships/vmlDrawing" Target="../drawings/vmlDrawing1.vml"/><Relationship Id="rId12" Type="http://schemas.openxmlformats.org/officeDocument/2006/relationships/control" Target="../activeX/activeX6.xml"/><Relationship Id="rId17" Type="http://schemas.openxmlformats.org/officeDocument/2006/relationships/control" Target="../activeX/activeX9.xml"/><Relationship Id="rId25" Type="http://schemas.openxmlformats.org/officeDocument/2006/relationships/image" Target="../media/image9.emf"/><Relationship Id="rId33" Type="http://schemas.openxmlformats.org/officeDocument/2006/relationships/image" Target="../media/image12.emf"/><Relationship Id="rId38" Type="http://schemas.openxmlformats.org/officeDocument/2006/relationships/image" Target="../media/image14.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2.vml"/><Relationship Id="rId7" Type="http://schemas.openxmlformats.org/officeDocument/2006/relationships/image" Target="../media/image18.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5.xml"/><Relationship Id="rId11" Type="http://schemas.openxmlformats.org/officeDocument/2006/relationships/ctrlProp" Target="../ctrlProps/ctrlProp2.xml"/><Relationship Id="rId5" Type="http://schemas.openxmlformats.org/officeDocument/2006/relationships/image" Target="../media/image17.emf"/><Relationship Id="rId10" Type="http://schemas.openxmlformats.org/officeDocument/2006/relationships/ctrlProp" Target="../ctrlProps/ctrlProp1.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AM689"/>
  <sheetViews>
    <sheetView showGridLines="0" showRowColHeaders="0" tabSelected="1" zoomScale="110" zoomScaleNormal="110" workbookViewId="0">
      <selection activeCell="D23" sqref="D23:J23"/>
    </sheetView>
  </sheetViews>
  <sheetFormatPr defaultRowHeight="15" x14ac:dyDescent="0.25"/>
  <cols>
    <col min="1" max="1" width="14.5703125" style="46" customWidth="1"/>
    <col min="2" max="3" width="14.85546875" style="6" customWidth="1"/>
    <col min="4" max="4" width="19.5703125" style="6" customWidth="1"/>
    <col min="5" max="5" width="12.28515625" style="6" customWidth="1"/>
    <col min="6" max="6" width="18.140625" style="6" customWidth="1"/>
    <col min="7" max="7" width="11" style="6" customWidth="1"/>
    <col min="8" max="8" width="16.28515625" style="6" customWidth="1"/>
    <col min="9" max="9" width="10.7109375" style="24" customWidth="1"/>
    <col min="10" max="10" width="18" style="24" customWidth="1"/>
    <col min="11" max="11" width="14.5703125" style="46" customWidth="1"/>
    <col min="12" max="39" width="9.140625" style="112"/>
  </cols>
  <sheetData>
    <row r="1" spans="1:10" x14ac:dyDescent="0.25">
      <c r="A1" s="66"/>
      <c r="B1" s="66"/>
      <c r="C1" s="66"/>
      <c r="D1" s="66"/>
      <c r="E1" s="66"/>
      <c r="F1" s="66"/>
      <c r="G1" s="66"/>
      <c r="H1" s="66"/>
      <c r="I1" s="67"/>
      <c r="J1" s="67"/>
    </row>
    <row r="2" spans="1:10" x14ac:dyDescent="0.25">
      <c r="A2" s="109"/>
      <c r="B2" s="66"/>
      <c r="C2" s="66"/>
      <c r="D2" s="66"/>
      <c r="E2" s="66"/>
      <c r="F2" s="66"/>
      <c r="G2" s="66"/>
      <c r="H2" s="66"/>
      <c r="I2" s="67"/>
      <c r="J2" s="67"/>
    </row>
    <row r="3" spans="1:10" x14ac:dyDescent="0.25">
      <c r="A3" s="66"/>
      <c r="B3" s="66"/>
      <c r="C3" s="66"/>
      <c r="D3" s="66"/>
      <c r="E3" s="68"/>
      <c r="F3" s="66"/>
      <c r="G3" s="66"/>
      <c r="H3" s="66"/>
      <c r="I3" s="67"/>
      <c r="J3" s="67"/>
    </row>
    <row r="4" spans="1:10" x14ac:dyDescent="0.25">
      <c r="A4" s="66"/>
      <c r="B4" s="66"/>
      <c r="C4" s="66"/>
      <c r="D4" s="66"/>
      <c r="E4" s="68"/>
      <c r="F4" s="69"/>
      <c r="G4" s="66"/>
      <c r="H4" s="66"/>
      <c r="I4" s="67"/>
      <c r="J4" s="67"/>
    </row>
    <row r="5" spans="1:10" x14ac:dyDescent="0.25">
      <c r="A5" s="66"/>
      <c r="B5" s="66"/>
      <c r="C5" s="66"/>
      <c r="D5" s="66"/>
      <c r="E5" s="68"/>
      <c r="F5" s="68"/>
      <c r="G5" s="66"/>
      <c r="H5" s="66"/>
      <c r="I5" s="67"/>
      <c r="J5" s="67"/>
    </row>
    <row r="6" spans="1:10" x14ac:dyDescent="0.25">
      <c r="A6" s="66"/>
      <c r="B6" s="66"/>
      <c r="C6" s="66"/>
      <c r="D6" s="66"/>
      <c r="E6" s="68"/>
      <c r="F6" s="68"/>
      <c r="G6" s="66"/>
      <c r="H6" s="66"/>
      <c r="I6" s="67"/>
      <c r="J6" s="67"/>
    </row>
    <row r="7" spans="1:10" ht="69" customHeight="1" x14ac:dyDescent="0.25">
      <c r="A7" s="66"/>
      <c r="B7" s="202" t="s">
        <v>756</v>
      </c>
      <c r="C7" s="203"/>
      <c r="D7" s="203"/>
      <c r="E7" s="203"/>
      <c r="F7" s="203"/>
      <c r="G7" s="203"/>
      <c r="H7" s="203"/>
      <c r="I7" s="203"/>
      <c r="J7" s="203"/>
    </row>
    <row r="8" spans="1:10" ht="15" customHeight="1" x14ac:dyDescent="0.25">
      <c r="A8" s="66"/>
      <c r="B8" s="176" t="s">
        <v>744</v>
      </c>
      <c r="C8" s="176"/>
      <c r="D8" s="176"/>
      <c r="E8" s="176"/>
      <c r="F8" s="176"/>
      <c r="G8" s="176"/>
      <c r="H8" s="176"/>
      <c r="I8" s="176"/>
      <c r="J8" s="176"/>
    </row>
    <row r="9" spans="1:10" x14ac:dyDescent="0.25">
      <c r="A9" s="66"/>
      <c r="B9" s="176"/>
      <c r="C9" s="176"/>
      <c r="D9" s="176"/>
      <c r="E9" s="176"/>
      <c r="F9" s="176"/>
      <c r="G9" s="176"/>
      <c r="H9" s="176"/>
      <c r="I9" s="176"/>
      <c r="J9" s="176"/>
    </row>
    <row r="10" spans="1:10" x14ac:dyDescent="0.25">
      <c r="A10" s="66"/>
      <c r="B10" s="176"/>
      <c r="C10" s="176"/>
      <c r="D10" s="176"/>
      <c r="E10" s="176"/>
      <c r="F10" s="176"/>
      <c r="G10" s="176"/>
      <c r="H10" s="176"/>
      <c r="I10" s="176"/>
      <c r="J10" s="176"/>
    </row>
    <row r="11" spans="1:10" x14ac:dyDescent="0.25">
      <c r="A11" s="66"/>
      <c r="B11" s="176"/>
      <c r="C11" s="176"/>
      <c r="D11" s="176"/>
      <c r="E11" s="176"/>
      <c r="F11" s="176"/>
      <c r="G11" s="176"/>
      <c r="H11" s="176"/>
      <c r="I11" s="176"/>
      <c r="J11" s="176"/>
    </row>
    <row r="12" spans="1:10" x14ac:dyDescent="0.25">
      <c r="A12" s="66"/>
      <c r="B12" s="176"/>
      <c r="C12" s="176"/>
      <c r="D12" s="176"/>
      <c r="E12" s="176"/>
      <c r="F12" s="176"/>
      <c r="G12" s="176"/>
      <c r="H12" s="176"/>
      <c r="I12" s="176"/>
      <c r="J12" s="176"/>
    </row>
    <row r="13" spans="1:10" x14ac:dyDescent="0.25">
      <c r="A13" s="66"/>
      <c r="B13" s="176"/>
      <c r="C13" s="176"/>
      <c r="D13" s="176"/>
      <c r="E13" s="176"/>
      <c r="F13" s="176"/>
      <c r="G13" s="176"/>
      <c r="H13" s="176"/>
      <c r="I13" s="176"/>
      <c r="J13" s="176"/>
    </row>
    <row r="14" spans="1:10" x14ac:dyDescent="0.25">
      <c r="A14" s="66"/>
      <c r="B14" s="176"/>
      <c r="C14" s="176"/>
      <c r="D14" s="176"/>
      <c r="E14" s="176"/>
      <c r="F14" s="176"/>
      <c r="G14" s="176"/>
      <c r="H14" s="176"/>
      <c r="I14" s="176"/>
      <c r="J14" s="176"/>
    </row>
    <row r="15" spans="1:10" ht="25.5" customHeight="1" x14ac:dyDescent="0.25">
      <c r="A15" s="66"/>
      <c r="B15" s="176"/>
      <c r="C15" s="176"/>
      <c r="D15" s="176"/>
      <c r="E15" s="176"/>
      <c r="F15" s="176"/>
      <c r="G15" s="176"/>
      <c r="H15" s="176"/>
      <c r="I15" s="176"/>
      <c r="J15" s="176"/>
    </row>
    <row r="16" spans="1:10" ht="60" customHeight="1" x14ac:dyDescent="0.25">
      <c r="A16" s="66"/>
      <c r="B16" s="176"/>
      <c r="C16" s="176"/>
      <c r="D16" s="176"/>
      <c r="E16" s="176"/>
      <c r="F16" s="176"/>
      <c r="G16" s="176"/>
      <c r="H16" s="176"/>
      <c r="I16" s="176"/>
      <c r="J16" s="176"/>
    </row>
    <row r="17" spans="1:39" ht="16.5" thickBot="1" x14ac:dyDescent="0.3">
      <c r="A17" s="66"/>
      <c r="B17" s="70"/>
      <c r="C17" s="70"/>
      <c r="D17" s="70"/>
      <c r="E17" s="70"/>
      <c r="F17" s="70"/>
      <c r="G17" s="70"/>
      <c r="H17" s="70"/>
      <c r="I17" s="70"/>
      <c r="J17" s="70"/>
    </row>
    <row r="18" spans="1:39" ht="15.75" thickBot="1" x14ac:dyDescent="0.3">
      <c r="A18" s="66"/>
      <c r="B18" s="178"/>
      <c r="C18" s="179"/>
      <c r="D18" s="179"/>
      <c r="E18" s="179"/>
      <c r="F18" s="179"/>
      <c r="G18" s="179"/>
      <c r="H18" s="179"/>
      <c r="I18" s="179"/>
      <c r="J18" s="180"/>
      <c r="S18" s="113"/>
    </row>
    <row r="19" spans="1:39" x14ac:dyDescent="0.25">
      <c r="A19" s="66"/>
      <c r="B19" s="72"/>
      <c r="C19" s="72"/>
      <c r="D19" s="72"/>
      <c r="E19" s="72"/>
      <c r="F19" s="72"/>
      <c r="G19" s="72"/>
      <c r="H19" s="72"/>
      <c r="I19" s="73"/>
      <c r="J19" s="73"/>
    </row>
    <row r="20" spans="1:39" s="2" customFormat="1" x14ac:dyDescent="0.25">
      <c r="A20" s="68"/>
      <c r="B20" s="74"/>
      <c r="C20" s="74"/>
      <c r="D20" s="74"/>
      <c r="E20" s="74"/>
      <c r="F20" s="74"/>
      <c r="G20" s="74"/>
      <c r="H20" s="74"/>
      <c r="I20" s="75"/>
      <c r="J20" s="76"/>
      <c r="K20" s="63"/>
      <c r="L20" s="114"/>
      <c r="M20" s="114"/>
      <c r="N20" s="114"/>
      <c r="O20" s="114"/>
      <c r="P20" s="114"/>
      <c r="Q20" s="114"/>
      <c r="R20" s="114"/>
      <c r="S20" s="114"/>
      <c r="T20" s="114"/>
      <c r="U20" s="114"/>
      <c r="V20" s="114"/>
      <c r="W20" s="114"/>
      <c r="X20" s="114"/>
      <c r="Y20" s="114"/>
      <c r="Z20" s="114"/>
      <c r="AA20" s="114"/>
      <c r="AB20" s="114"/>
      <c r="AC20" s="114"/>
      <c r="AD20" s="114"/>
      <c r="AE20" s="114"/>
      <c r="AF20" s="114"/>
      <c r="AG20" s="114"/>
      <c r="AH20" s="114"/>
      <c r="AI20" s="114"/>
      <c r="AJ20" s="114"/>
      <c r="AK20" s="114"/>
      <c r="AL20" s="114"/>
      <c r="AM20" s="114"/>
    </row>
    <row r="21" spans="1:39" s="1" customFormat="1" ht="52.5" customHeight="1" x14ac:dyDescent="0.25">
      <c r="A21" s="71"/>
      <c r="B21" s="177" t="s">
        <v>670</v>
      </c>
      <c r="C21" s="177"/>
      <c r="D21" s="177"/>
      <c r="E21" s="177"/>
      <c r="F21" s="177"/>
      <c r="G21" s="177"/>
      <c r="H21" s="177"/>
      <c r="I21" s="177"/>
      <c r="J21" s="177"/>
      <c r="K21" s="64"/>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row>
    <row r="22" spans="1:39" s="1" customFormat="1" ht="16.5" thickBot="1" x14ac:dyDescent="0.3">
      <c r="A22" s="71"/>
      <c r="B22" s="77"/>
      <c r="C22" s="77"/>
      <c r="D22" s="77"/>
      <c r="E22" s="77"/>
      <c r="F22" s="77"/>
      <c r="G22" s="77"/>
      <c r="H22" s="77"/>
      <c r="I22" s="70"/>
      <c r="J22" s="70"/>
      <c r="K22" s="64"/>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row>
    <row r="23" spans="1:39" ht="16.5" thickBot="1" x14ac:dyDescent="0.3">
      <c r="B23" s="78" t="s">
        <v>0</v>
      </c>
      <c r="C23" s="79"/>
      <c r="D23" s="173"/>
      <c r="E23" s="174"/>
      <c r="F23" s="174"/>
      <c r="G23" s="174"/>
      <c r="H23" s="174"/>
      <c r="I23" s="174"/>
      <c r="J23" s="175"/>
    </row>
    <row r="24" spans="1:39" ht="15.75" thickBot="1" x14ac:dyDescent="0.3">
      <c r="B24" s="46"/>
      <c r="C24" s="63"/>
      <c r="D24" s="63"/>
      <c r="E24" s="63"/>
      <c r="F24" s="63"/>
      <c r="G24" s="63"/>
      <c r="H24" s="63"/>
      <c r="I24" s="42"/>
      <c r="J24" s="42"/>
    </row>
    <row r="25" spans="1:39" ht="16.5" thickBot="1" x14ac:dyDescent="0.3">
      <c r="B25" s="78" t="s">
        <v>1</v>
      </c>
      <c r="C25" s="79"/>
      <c r="D25" s="173"/>
      <c r="E25" s="174"/>
      <c r="F25" s="174"/>
      <c r="G25" s="174"/>
      <c r="H25" s="174"/>
      <c r="I25" s="174"/>
      <c r="J25" s="175"/>
    </row>
    <row r="26" spans="1:39" x14ac:dyDescent="0.25">
      <c r="B26" s="46"/>
      <c r="C26" s="46"/>
      <c r="D26" s="46"/>
      <c r="E26" s="46"/>
      <c r="F26" s="46"/>
      <c r="G26" s="46"/>
      <c r="H26" s="46"/>
      <c r="I26" s="40"/>
      <c r="J26" s="40"/>
    </row>
    <row r="27" spans="1:39" ht="20.25" customHeight="1" x14ac:dyDescent="0.25">
      <c r="B27" s="172" t="s">
        <v>671</v>
      </c>
      <c r="C27" s="172"/>
      <c r="D27" s="172"/>
      <c r="E27" s="172"/>
      <c r="F27" s="172"/>
      <c r="G27" s="172"/>
      <c r="H27" s="172"/>
      <c r="I27" s="172"/>
      <c r="J27" s="172"/>
    </row>
    <row r="28" spans="1:39" ht="15.75" thickBot="1" x14ac:dyDescent="0.3">
      <c r="B28" s="46"/>
      <c r="C28" s="46"/>
      <c r="D28" s="46"/>
      <c r="E28" s="46"/>
      <c r="F28" s="46"/>
      <c r="G28" s="46"/>
      <c r="H28" s="46"/>
      <c r="I28" s="40"/>
      <c r="J28" s="40"/>
    </row>
    <row r="29" spans="1:39" ht="16.5" thickBot="1" x14ac:dyDescent="0.3">
      <c r="B29" s="93" t="s">
        <v>2</v>
      </c>
      <c r="C29" s="94"/>
      <c r="D29" s="234"/>
      <c r="E29" s="235"/>
      <c r="F29" s="235"/>
      <c r="G29" s="235"/>
      <c r="H29" s="235"/>
      <c r="I29" s="235"/>
      <c r="J29" s="236"/>
    </row>
    <row r="30" spans="1:39" ht="15.75" thickBot="1" x14ac:dyDescent="0.3">
      <c r="B30" s="95"/>
      <c r="C30" s="40"/>
      <c r="D30" s="81"/>
      <c r="E30" s="81"/>
      <c r="F30" s="81"/>
      <c r="G30" s="81"/>
      <c r="H30" s="81"/>
      <c r="I30" s="81"/>
      <c r="J30" s="81"/>
    </row>
    <row r="31" spans="1:39" ht="16.5" thickBot="1" x14ac:dyDescent="0.3">
      <c r="B31" s="93" t="s">
        <v>3</v>
      </c>
      <c r="C31" s="94"/>
      <c r="D31" s="234"/>
      <c r="E31" s="235"/>
      <c r="F31" s="235"/>
      <c r="G31" s="235"/>
      <c r="H31" s="235"/>
      <c r="I31" s="235"/>
      <c r="J31" s="236"/>
    </row>
    <row r="32" spans="1:39" ht="15.75" thickBot="1" x14ac:dyDescent="0.3">
      <c r="B32" s="95"/>
      <c r="C32" s="40"/>
      <c r="D32" s="81"/>
      <c r="E32" s="81"/>
      <c r="F32" s="81"/>
      <c r="G32" s="81"/>
      <c r="H32" s="81"/>
      <c r="I32" s="81"/>
      <c r="J32" s="81"/>
    </row>
    <row r="33" spans="1:11" ht="16.5" thickBot="1" x14ac:dyDescent="0.3">
      <c r="B33" s="93" t="s">
        <v>4</v>
      </c>
      <c r="C33" s="94"/>
      <c r="D33" s="231"/>
      <c r="E33" s="232"/>
      <c r="F33" s="232"/>
      <c r="G33" s="232"/>
      <c r="H33" s="232"/>
      <c r="I33" s="232"/>
      <c r="J33" s="233"/>
    </row>
    <row r="34" spans="1:11" ht="15.75" x14ac:dyDescent="0.25">
      <c r="B34" s="78"/>
      <c r="C34" s="80"/>
      <c r="D34" s="82"/>
      <c r="E34" s="82"/>
      <c r="F34" s="82"/>
      <c r="G34" s="82"/>
      <c r="H34" s="82"/>
      <c r="I34" s="83"/>
      <c r="J34" s="83"/>
    </row>
    <row r="35" spans="1:11" ht="15.75" thickBot="1" x14ac:dyDescent="0.3">
      <c r="B35" s="46"/>
      <c r="C35" s="46"/>
      <c r="D35" s="46"/>
      <c r="E35" s="46"/>
      <c r="F35" s="46"/>
      <c r="G35" s="46"/>
      <c r="H35" s="46"/>
      <c r="I35" s="40"/>
      <c r="J35" s="40"/>
    </row>
    <row r="36" spans="1:11" ht="15.75" thickBot="1" x14ac:dyDescent="0.3">
      <c r="B36" s="12"/>
      <c r="C36" s="13"/>
      <c r="D36" s="13"/>
      <c r="E36" s="13"/>
      <c r="F36" s="13"/>
      <c r="G36" s="13"/>
      <c r="H36" s="13"/>
      <c r="I36" s="14"/>
      <c r="J36" s="15"/>
    </row>
    <row r="37" spans="1:11" x14ac:dyDescent="0.25">
      <c r="B37" s="16"/>
      <c r="C37" s="16"/>
      <c r="D37" s="16"/>
      <c r="E37" s="16"/>
      <c r="F37" s="16"/>
      <c r="G37" s="16"/>
      <c r="H37" s="16"/>
      <c r="I37" s="17"/>
      <c r="J37" s="10"/>
    </row>
    <row r="38" spans="1:11" ht="91.5" customHeight="1" x14ac:dyDescent="0.25">
      <c r="B38" s="134" t="s">
        <v>745</v>
      </c>
      <c r="C38" s="134"/>
      <c r="D38" s="134"/>
      <c r="E38" s="134"/>
      <c r="F38" s="134"/>
      <c r="G38" s="134"/>
      <c r="H38" s="134"/>
      <c r="I38" s="134"/>
      <c r="J38" s="134"/>
    </row>
    <row r="39" spans="1:11" x14ac:dyDescent="0.25">
      <c r="B39" s="8"/>
      <c r="C39" s="8"/>
      <c r="D39" s="8"/>
      <c r="E39" s="8"/>
      <c r="F39" s="8"/>
      <c r="G39" s="8"/>
      <c r="H39" s="8"/>
      <c r="I39" s="11"/>
      <c r="J39" s="11"/>
    </row>
    <row r="40" spans="1:11" x14ac:dyDescent="0.25">
      <c r="B40" s="8"/>
      <c r="C40" s="9"/>
      <c r="D40" s="181" t="s">
        <v>290</v>
      </c>
      <c r="E40" s="181"/>
      <c r="F40" s="182" t="s">
        <v>291</v>
      </c>
      <c r="G40" s="183"/>
      <c r="H40" s="182" t="s">
        <v>292</v>
      </c>
      <c r="I40" s="183"/>
      <c r="J40" s="10"/>
    </row>
    <row r="41" spans="1:11" ht="24.75" customHeight="1" x14ac:dyDescent="0.25">
      <c r="B41" s="96" t="s">
        <v>672</v>
      </c>
      <c r="C41" s="99"/>
      <c r="D41" s="163" t="s">
        <v>22</v>
      </c>
      <c r="E41" s="163"/>
      <c r="F41" s="163"/>
      <c r="G41" s="163"/>
      <c r="H41" s="163"/>
      <c r="I41" s="163"/>
      <c r="J41" s="42"/>
    </row>
    <row r="42" spans="1:11" ht="24.75" customHeight="1" x14ac:dyDescent="0.25">
      <c r="B42" s="96"/>
      <c r="C42" s="99"/>
      <c r="D42" s="85"/>
      <c r="E42" s="85"/>
      <c r="F42" s="99"/>
      <c r="G42" s="100"/>
      <c r="H42" s="82"/>
      <c r="I42" s="85"/>
      <c r="J42" s="85"/>
    </row>
    <row r="43" spans="1:11" ht="24.75" customHeight="1" x14ac:dyDescent="0.25">
      <c r="B43" s="96" t="s">
        <v>673</v>
      </c>
      <c r="C43" s="99"/>
      <c r="D43" s="163" t="s">
        <v>23</v>
      </c>
      <c r="E43" s="163"/>
      <c r="F43" s="163"/>
      <c r="G43" s="163"/>
      <c r="H43" s="163"/>
      <c r="I43" s="163"/>
      <c r="J43" s="85"/>
    </row>
    <row r="44" spans="1:11" ht="24.75" customHeight="1" x14ac:dyDescent="0.25">
      <c r="B44" s="7"/>
      <c r="C44" s="99"/>
      <c r="D44" s="85"/>
      <c r="E44" s="85"/>
      <c r="F44" s="99"/>
      <c r="G44" s="100"/>
      <c r="H44" s="82"/>
      <c r="I44" s="85"/>
      <c r="J44" s="85"/>
    </row>
    <row r="45" spans="1:11" ht="52.5" customHeight="1" x14ac:dyDescent="0.25">
      <c r="A45" s="66"/>
      <c r="B45" s="217" t="s">
        <v>674</v>
      </c>
      <c r="C45" s="217"/>
      <c r="D45" s="217"/>
      <c r="E45" s="217"/>
      <c r="F45" s="217"/>
      <c r="G45" s="217"/>
      <c r="H45" s="217"/>
      <c r="I45" s="217"/>
      <c r="J45" s="217"/>
      <c r="K45" s="66"/>
    </row>
    <row r="46" spans="1:11" ht="25.15" customHeight="1" x14ac:dyDescent="0.25">
      <c r="A46" s="66"/>
      <c r="B46" s="218"/>
      <c r="C46" s="217" t="s">
        <v>344</v>
      </c>
      <c r="D46" s="217"/>
      <c r="E46" s="219"/>
      <c r="F46" s="219"/>
      <c r="G46" s="219"/>
      <c r="H46" s="219"/>
      <c r="I46" s="219"/>
      <c r="J46" s="219"/>
      <c r="K46" s="66"/>
    </row>
    <row r="47" spans="1:11" x14ac:dyDescent="0.25">
      <c r="A47" s="66"/>
      <c r="B47" s="219"/>
      <c r="C47" s="219"/>
      <c r="D47" s="219"/>
      <c r="E47" s="219"/>
      <c r="F47" s="219"/>
      <c r="G47" s="219"/>
      <c r="H47" s="219"/>
      <c r="I47" s="219"/>
      <c r="J47" s="219"/>
      <c r="K47" s="66"/>
    </row>
    <row r="48" spans="1:11" ht="28.9" customHeight="1" x14ac:dyDescent="0.25">
      <c r="A48" s="250"/>
      <c r="B48" s="251"/>
      <c r="C48" s="220" t="s">
        <v>347</v>
      </c>
      <c r="D48" s="220"/>
      <c r="E48" s="221"/>
      <c r="F48" s="221"/>
      <c r="G48" s="221"/>
      <c r="H48" s="221"/>
      <c r="I48" s="222"/>
      <c r="J48" s="222"/>
      <c r="K48" s="66"/>
    </row>
    <row r="49" spans="1:15" x14ac:dyDescent="0.25">
      <c r="A49" s="252"/>
      <c r="B49" s="253"/>
      <c r="C49" s="254"/>
      <c r="D49" s="255"/>
      <c r="E49" s="255" t="str">
        <f>IFERROR(INDEX(A$3:$T$341, $X49, COLUMNS(E$3:$Y49)), "")</f>
        <v/>
      </c>
      <c r="F49" s="256"/>
      <c r="G49" s="256"/>
      <c r="H49" s="256"/>
      <c r="I49" s="256"/>
      <c r="J49" s="254"/>
      <c r="K49" s="250"/>
    </row>
    <row r="50" spans="1:15" x14ac:dyDescent="0.25">
      <c r="A50" s="252"/>
      <c r="B50" s="253"/>
      <c r="C50" s="257"/>
      <c r="D50" s="258" t="str">
        <f>IFERROR(INDEX(#REF!, $X50, COLUMNS(D$3:$Y50)), "")</f>
        <v/>
      </c>
      <c r="E50" s="258" t="str">
        <f>IFERROR(INDEX(A$3:$T$341, $X50, COLUMNS(E$3:$Y50)), "")</f>
        <v/>
      </c>
      <c r="F50" s="257"/>
      <c r="G50" s="257"/>
      <c r="H50" s="257"/>
      <c r="I50" s="257"/>
      <c r="J50" s="253"/>
      <c r="K50" s="250"/>
    </row>
    <row r="51" spans="1:15" x14ac:dyDescent="0.25">
      <c r="A51" s="252"/>
      <c r="B51" s="253"/>
      <c r="C51" s="253"/>
      <c r="D51" s="258" t="str">
        <f>IFERROR(INDEX(#REF!, $X51, COLUMNS(D$3:$Y51)), "")</f>
        <v/>
      </c>
      <c r="E51" s="258" t="str">
        <f>IFERROR(INDEX(A$3:$T$341, $X51, COLUMNS(E$3:$Y51)), "")</f>
        <v/>
      </c>
      <c r="F51" s="257"/>
      <c r="G51" s="257"/>
      <c r="H51" s="257"/>
      <c r="I51" s="257"/>
      <c r="J51" s="253"/>
      <c r="K51" s="250"/>
    </row>
    <row r="52" spans="1:15" x14ac:dyDescent="0.25">
      <c r="A52" s="252"/>
      <c r="B52" s="259"/>
      <c r="C52" s="259"/>
      <c r="D52" s="258" t="str">
        <f>IFERROR(INDEX(#REF!, $X52, COLUMNS(D$3:$Y52)), "")</f>
        <v/>
      </c>
      <c r="E52" s="258" t="str">
        <f>IFERROR(INDEX(A$3:$T$341, $X52, COLUMNS(E$3:$Y52)), "")</f>
        <v/>
      </c>
      <c r="F52" s="257"/>
      <c r="G52" s="257"/>
      <c r="H52" s="257"/>
      <c r="I52" s="257"/>
      <c r="J52" s="253"/>
      <c r="K52" s="250"/>
    </row>
    <row r="53" spans="1:15" x14ac:dyDescent="0.25">
      <c r="A53" s="252"/>
      <c r="B53" s="260"/>
      <c r="C53" s="253"/>
      <c r="D53" s="258" t="str">
        <f>IFERROR(INDEX(#REF!, $X53, COLUMNS(D$3:$Y53)), "")</f>
        <v/>
      </c>
      <c r="E53" s="258" t="str">
        <f>IFERROR(INDEX(A$3:$T$341, $X53, COLUMNS(E$3:$Y53)), "")</f>
        <v/>
      </c>
      <c r="F53" s="257"/>
      <c r="G53" s="257"/>
      <c r="H53" s="257"/>
      <c r="I53" s="257"/>
      <c r="J53" s="253"/>
      <c r="K53" s="250"/>
    </row>
    <row r="54" spans="1:15" x14ac:dyDescent="0.25">
      <c r="A54" s="252"/>
      <c r="B54" s="253"/>
      <c r="C54" s="253"/>
      <c r="D54" s="258" t="str">
        <f>IFERROR(INDEX(#REF!, $X54, COLUMNS(D$3:$Y54)), "")</f>
        <v/>
      </c>
      <c r="E54" s="258" t="str">
        <f>IFERROR(INDEX(A$3:$T$341, $X54, COLUMNS(E$3:$Y54)), "")</f>
        <v/>
      </c>
      <c r="F54" s="257"/>
      <c r="G54" s="257"/>
      <c r="H54" s="257"/>
      <c r="I54" s="257"/>
      <c r="J54" s="253"/>
      <c r="K54" s="250"/>
    </row>
    <row r="55" spans="1:15" x14ac:dyDescent="0.25">
      <c r="A55" s="252"/>
      <c r="B55" s="253"/>
      <c r="C55" s="253"/>
      <c r="D55" s="258" t="str">
        <f>IFERROR(INDEX(#REF!, $X55, COLUMNS(D$3:$Y55)), "")</f>
        <v/>
      </c>
      <c r="E55" s="258" t="str">
        <f>IFERROR(INDEX(A$3:$T$341, $X55, COLUMNS(E$3:$Y55)), "")</f>
        <v/>
      </c>
      <c r="F55" s="257"/>
      <c r="G55" s="257"/>
      <c r="H55" s="257"/>
      <c r="I55" s="257"/>
      <c r="J55" s="253"/>
      <c r="K55" s="250"/>
    </row>
    <row r="56" spans="1:15" x14ac:dyDescent="0.25">
      <c r="A56" s="252"/>
      <c r="B56" s="253"/>
      <c r="C56" s="253"/>
      <c r="D56" s="258" t="str">
        <f>IFERROR(INDEX(#REF!, $X56, COLUMNS(D$3:$Y56)), "")</f>
        <v/>
      </c>
      <c r="E56" s="258" t="str">
        <f>IFERROR(INDEX(A$3:$T$341, $X56, COLUMNS(E$3:$Y56)), "")</f>
        <v/>
      </c>
      <c r="F56" s="257"/>
      <c r="G56" s="257"/>
      <c r="H56" s="257"/>
      <c r="I56" s="257"/>
      <c r="J56" s="253"/>
      <c r="K56" s="250"/>
    </row>
    <row r="57" spans="1:15" x14ac:dyDescent="0.25">
      <c r="A57" s="252"/>
      <c r="B57" s="253"/>
      <c r="C57" s="253"/>
      <c r="D57" s="258" t="str">
        <f>IFERROR(INDEX(#REF!, $X57, COLUMNS(D$3:$Y57)), "")</f>
        <v/>
      </c>
      <c r="E57" s="258" t="str">
        <f>IFERROR(INDEX(A$3:$T$341, $X57, COLUMNS(E$3:$Y57)), "")</f>
        <v/>
      </c>
      <c r="F57" s="257"/>
      <c r="G57" s="257"/>
      <c r="H57" s="257"/>
      <c r="I57" s="257"/>
      <c r="J57" s="253"/>
      <c r="K57" s="250"/>
    </row>
    <row r="58" spans="1:15" x14ac:dyDescent="0.25">
      <c r="A58" s="252"/>
      <c r="B58" s="253"/>
      <c r="C58" s="253"/>
      <c r="D58" s="258"/>
      <c r="E58" s="258"/>
      <c r="F58" s="257"/>
      <c r="G58" s="257"/>
      <c r="H58" s="257"/>
      <c r="I58" s="257"/>
      <c r="J58" s="253"/>
      <c r="K58" s="250"/>
      <c r="N58" s="118"/>
      <c r="O58" s="118"/>
    </row>
    <row r="59" spans="1:15" x14ac:dyDescent="0.25">
      <c r="A59" s="261"/>
      <c r="B59" s="262"/>
      <c r="C59" s="262"/>
      <c r="D59" s="263"/>
      <c r="E59" s="263"/>
      <c r="F59" s="264"/>
      <c r="G59" s="264"/>
      <c r="H59" s="257"/>
      <c r="I59" s="257"/>
      <c r="J59" s="253"/>
      <c r="K59" s="250"/>
    </row>
    <row r="60" spans="1:15" ht="15.75" thickBot="1" x14ac:dyDescent="0.3">
      <c r="A60" s="252"/>
      <c r="B60" s="253"/>
      <c r="C60" s="253"/>
      <c r="D60" s="265"/>
      <c r="E60" s="265"/>
      <c r="F60" s="257"/>
      <c r="G60" s="257"/>
      <c r="H60" s="257"/>
      <c r="I60" s="257"/>
      <c r="J60" s="253"/>
      <c r="K60" s="250"/>
    </row>
    <row r="61" spans="1:15" ht="16.5" thickBot="1" x14ac:dyDescent="0.3">
      <c r="A61" s="68"/>
      <c r="B61" s="223"/>
      <c r="C61" s="224" t="s">
        <v>669</v>
      </c>
      <c r="D61" s="225"/>
      <c r="E61" s="225"/>
      <c r="F61" s="225"/>
      <c r="G61" s="225"/>
      <c r="H61" s="225"/>
      <c r="I61" s="225"/>
      <c r="J61" s="226"/>
      <c r="K61" s="66"/>
    </row>
    <row r="62" spans="1:15" ht="15" customHeight="1" x14ac:dyDescent="0.25">
      <c r="A62" s="68"/>
      <c r="B62" s="227" t="s">
        <v>668</v>
      </c>
      <c r="C62" s="204"/>
      <c r="D62" s="205"/>
      <c r="E62" s="205"/>
      <c r="F62" s="205"/>
      <c r="G62" s="205"/>
      <c r="H62" s="205"/>
      <c r="I62" s="205"/>
      <c r="J62" s="206"/>
      <c r="K62" s="68"/>
    </row>
    <row r="63" spans="1:15" x14ac:dyDescent="0.25">
      <c r="A63" s="68"/>
      <c r="B63" s="227"/>
      <c r="C63" s="207"/>
      <c r="D63" s="208"/>
      <c r="E63" s="208"/>
      <c r="F63" s="208"/>
      <c r="G63" s="208"/>
      <c r="H63" s="208"/>
      <c r="I63" s="208"/>
      <c r="J63" s="209"/>
      <c r="K63" s="66"/>
    </row>
    <row r="64" spans="1:15" ht="15" customHeight="1" x14ac:dyDescent="0.25">
      <c r="A64" s="68"/>
      <c r="B64" s="227"/>
      <c r="C64" s="207"/>
      <c r="D64" s="208"/>
      <c r="E64" s="208"/>
      <c r="F64" s="208"/>
      <c r="G64" s="208"/>
      <c r="H64" s="208"/>
      <c r="I64" s="208"/>
      <c r="J64" s="209"/>
      <c r="K64" s="66"/>
    </row>
    <row r="65" spans="1:11" ht="15" customHeight="1" x14ac:dyDescent="0.25">
      <c r="A65" s="68"/>
      <c r="B65" s="227"/>
      <c r="C65" s="207"/>
      <c r="D65" s="208"/>
      <c r="E65" s="208"/>
      <c r="F65" s="208"/>
      <c r="G65" s="208"/>
      <c r="H65" s="208"/>
      <c r="I65" s="208"/>
      <c r="J65" s="209"/>
      <c r="K65" s="66"/>
    </row>
    <row r="66" spans="1:11" ht="15" customHeight="1" x14ac:dyDescent="0.25">
      <c r="A66" s="68"/>
      <c r="B66" s="227"/>
      <c r="C66" s="207"/>
      <c r="D66" s="208"/>
      <c r="E66" s="208"/>
      <c r="F66" s="208"/>
      <c r="G66" s="208"/>
      <c r="H66" s="208"/>
      <c r="I66" s="208"/>
      <c r="J66" s="209"/>
      <c r="K66" s="66"/>
    </row>
    <row r="67" spans="1:11" ht="15" customHeight="1" thickBot="1" x14ac:dyDescent="0.3">
      <c r="A67" s="68"/>
      <c r="B67" s="227"/>
      <c r="C67" s="210"/>
      <c r="D67" s="211"/>
      <c r="E67" s="211"/>
      <c r="F67" s="211"/>
      <c r="G67" s="211"/>
      <c r="H67" s="211"/>
      <c r="I67" s="211"/>
      <c r="J67" s="212"/>
      <c r="K67" s="66"/>
    </row>
    <row r="68" spans="1:11" x14ac:dyDescent="0.25">
      <c r="A68" s="68"/>
      <c r="B68" s="228"/>
      <c r="C68" s="228"/>
      <c r="D68" s="228"/>
      <c r="E68" s="228"/>
      <c r="F68" s="228"/>
      <c r="G68" s="228"/>
      <c r="H68" s="228"/>
      <c r="I68" s="228"/>
      <c r="J68" s="228"/>
      <c r="K68" s="66"/>
    </row>
    <row r="69" spans="1:11" ht="57" customHeight="1" x14ac:dyDescent="0.25">
      <c r="A69" s="66"/>
      <c r="B69" s="229" t="s">
        <v>675</v>
      </c>
      <c r="C69" s="229"/>
      <c r="D69" s="229"/>
      <c r="E69" s="229"/>
      <c r="F69" s="229"/>
      <c r="G69" s="229"/>
      <c r="H69" s="229"/>
      <c r="I69" s="229"/>
      <c r="J69" s="229"/>
      <c r="K69" s="66"/>
    </row>
    <row r="70" spans="1:11" x14ac:dyDescent="0.25">
      <c r="B70" s="8"/>
      <c r="C70" s="8"/>
      <c r="D70" s="8"/>
      <c r="E70" s="8"/>
      <c r="F70" s="8"/>
      <c r="G70" s="8"/>
      <c r="H70" s="8"/>
      <c r="I70" s="11"/>
      <c r="J70" s="11"/>
    </row>
    <row r="71" spans="1:11" ht="21" customHeight="1" x14ac:dyDescent="0.25">
      <c r="B71" s="152" t="s">
        <v>232</v>
      </c>
      <c r="C71" s="152"/>
      <c r="D71" s="152"/>
      <c r="E71" s="152"/>
      <c r="F71" s="152"/>
      <c r="G71" s="152"/>
      <c r="H71" s="47"/>
      <c r="I71" s="29"/>
      <c r="J71" s="29"/>
      <c r="K71" s="63"/>
    </row>
    <row r="72" spans="1:11" x14ac:dyDescent="0.25">
      <c r="B72" s="152"/>
      <c r="C72" s="152"/>
      <c r="D72" s="152"/>
      <c r="E72" s="152"/>
      <c r="F72" s="152"/>
      <c r="G72" s="152"/>
      <c r="H72" s="47"/>
      <c r="I72" s="57"/>
      <c r="J72" s="57"/>
      <c r="K72" s="63"/>
    </row>
    <row r="73" spans="1:11" x14ac:dyDescent="0.25">
      <c r="B73" s="152"/>
      <c r="C73" s="152"/>
      <c r="D73" s="152"/>
      <c r="E73" s="152"/>
      <c r="F73" s="152"/>
      <c r="G73" s="152"/>
      <c r="H73" s="47"/>
      <c r="I73" s="57"/>
      <c r="J73" s="57"/>
      <c r="K73" s="63"/>
    </row>
    <row r="74" spans="1:11" x14ac:dyDescent="0.25">
      <c r="B74" s="152"/>
      <c r="C74" s="152"/>
      <c r="D74" s="152"/>
      <c r="E74" s="152"/>
      <c r="F74" s="152"/>
      <c r="G74" s="152"/>
      <c r="H74" s="47"/>
      <c r="I74" s="158"/>
      <c r="J74" s="158"/>
      <c r="K74" s="63"/>
    </row>
    <row r="75" spans="1:11" x14ac:dyDescent="0.25">
      <c r="B75" s="152"/>
      <c r="C75" s="152"/>
      <c r="D75" s="152"/>
      <c r="E75" s="152"/>
      <c r="F75" s="152"/>
      <c r="G75" s="152"/>
      <c r="H75" s="47"/>
      <c r="I75" s="57"/>
      <c r="J75" s="57"/>
      <c r="K75" s="63"/>
    </row>
    <row r="76" spans="1:11" x14ac:dyDescent="0.25">
      <c r="B76" s="152"/>
      <c r="C76" s="152"/>
      <c r="D76" s="152"/>
      <c r="E76" s="152"/>
      <c r="F76" s="152"/>
      <c r="G76" s="152"/>
      <c r="H76" s="47"/>
      <c r="I76" s="57"/>
      <c r="J76" s="57"/>
      <c r="K76" s="63"/>
    </row>
    <row r="77" spans="1:11" x14ac:dyDescent="0.25">
      <c r="B77" s="8"/>
      <c r="C77" s="8"/>
      <c r="D77" s="8"/>
      <c r="E77" s="8"/>
      <c r="F77" s="8"/>
      <c r="G77" s="8"/>
      <c r="H77" s="9"/>
      <c r="I77" s="10"/>
      <c r="J77" s="10"/>
      <c r="K77" s="63"/>
    </row>
    <row r="78" spans="1:11" x14ac:dyDescent="0.25">
      <c r="B78" s="35"/>
      <c r="C78" s="35"/>
      <c r="D78" s="35"/>
      <c r="E78" s="35"/>
      <c r="F78" s="35"/>
      <c r="G78" s="35"/>
      <c r="H78" s="35"/>
      <c r="I78" s="35"/>
      <c r="J78" s="35"/>
      <c r="K78" s="63"/>
    </row>
    <row r="79" spans="1:11" ht="41.25" customHeight="1" x14ac:dyDescent="0.25">
      <c r="B79" s="159" t="s">
        <v>165</v>
      </c>
      <c r="C79" s="159"/>
      <c r="D79" s="159"/>
      <c r="E79" s="159"/>
      <c r="F79" s="159"/>
      <c r="G79" s="159"/>
      <c r="H79" s="35"/>
      <c r="I79" s="158"/>
      <c r="J79" s="158"/>
      <c r="K79" s="63"/>
    </row>
    <row r="80" spans="1:11" x14ac:dyDescent="0.25">
      <c r="B80" s="35"/>
      <c r="C80" s="35"/>
      <c r="D80" s="35"/>
      <c r="E80" s="35"/>
      <c r="F80" s="35"/>
      <c r="G80" s="35"/>
      <c r="H80" s="35"/>
      <c r="I80" s="35"/>
      <c r="J80" s="35"/>
      <c r="K80" s="63"/>
    </row>
    <row r="81" spans="2:11" x14ac:dyDescent="0.25">
      <c r="B81" s="160" t="s">
        <v>167</v>
      </c>
      <c r="C81" s="160"/>
      <c r="D81" s="160"/>
      <c r="E81" s="160"/>
      <c r="F81" s="160"/>
      <c r="G81" s="35"/>
      <c r="H81" s="35"/>
      <c r="I81" s="161"/>
      <c r="J81" s="161"/>
      <c r="K81" s="63"/>
    </row>
    <row r="82" spans="2:11" x14ac:dyDescent="0.25">
      <c r="B82" s="35"/>
      <c r="C82" s="35"/>
      <c r="D82" s="35"/>
      <c r="E82" s="35"/>
      <c r="F82" s="35"/>
      <c r="G82" s="35"/>
      <c r="H82" s="35"/>
      <c r="I82" s="35"/>
      <c r="J82" s="35"/>
      <c r="K82" s="63"/>
    </row>
    <row r="83" spans="2:11" ht="36" customHeight="1" x14ac:dyDescent="0.25">
      <c r="B83" s="159" t="s">
        <v>168</v>
      </c>
      <c r="C83" s="159"/>
      <c r="D83" s="159"/>
      <c r="E83" s="159"/>
      <c r="F83" s="159"/>
      <c r="G83" s="35"/>
      <c r="H83" s="35"/>
      <c r="I83" s="158"/>
      <c r="J83" s="158"/>
      <c r="K83" s="63"/>
    </row>
    <row r="84" spans="2:11" ht="18" customHeight="1" x14ac:dyDescent="0.25">
      <c r="B84" s="35"/>
      <c r="C84" s="35"/>
      <c r="D84" s="35"/>
      <c r="E84" s="35"/>
      <c r="F84" s="35"/>
      <c r="G84" s="35"/>
      <c r="H84" s="35"/>
      <c r="I84" s="35"/>
      <c r="J84" s="35"/>
      <c r="K84" s="63"/>
    </row>
    <row r="85" spans="2:11" ht="42" customHeight="1" x14ac:dyDescent="0.25">
      <c r="B85" s="35"/>
      <c r="C85" s="159" t="s">
        <v>169</v>
      </c>
      <c r="D85" s="160"/>
      <c r="E85" s="160"/>
      <c r="F85" s="160"/>
      <c r="G85" s="160"/>
      <c r="H85" s="35"/>
      <c r="I85" s="35"/>
      <c r="J85" s="35"/>
    </row>
    <row r="86" spans="2:11" ht="15.75" thickBot="1" x14ac:dyDescent="0.3">
      <c r="B86" s="35"/>
      <c r="C86" s="35"/>
      <c r="D86" s="35"/>
      <c r="E86" s="35"/>
      <c r="F86" s="35"/>
      <c r="G86" s="35"/>
      <c r="H86" s="35"/>
      <c r="I86" s="35"/>
      <c r="J86" s="35"/>
    </row>
    <row r="87" spans="2:11" ht="15.75" thickBot="1" x14ac:dyDescent="0.3">
      <c r="B87" s="35"/>
      <c r="C87" s="97" t="s">
        <v>676</v>
      </c>
      <c r="D87" s="35"/>
      <c r="E87" s="35"/>
      <c r="F87" s="35"/>
      <c r="G87" s="35"/>
      <c r="H87" s="35"/>
      <c r="I87" s="237"/>
      <c r="J87" s="238"/>
    </row>
    <row r="88" spans="2:11" ht="15.75" thickBot="1" x14ac:dyDescent="0.3">
      <c r="B88" s="35"/>
      <c r="C88" s="97"/>
      <c r="D88" s="35"/>
      <c r="E88" s="35"/>
      <c r="F88" s="35"/>
      <c r="G88" s="35"/>
      <c r="H88" s="35"/>
      <c r="I88" s="35"/>
      <c r="J88" s="35"/>
    </row>
    <row r="89" spans="2:11" ht="15.75" thickBot="1" x14ac:dyDescent="0.3">
      <c r="B89" s="35"/>
      <c r="C89" s="97" t="s">
        <v>677</v>
      </c>
      <c r="D89" s="35"/>
      <c r="E89" s="35"/>
      <c r="F89" s="35"/>
      <c r="G89" s="35"/>
      <c r="H89" s="35"/>
      <c r="I89" s="239"/>
      <c r="J89" s="240"/>
    </row>
    <row r="90" spans="2:11" ht="15.75" thickBot="1" x14ac:dyDescent="0.3">
      <c r="B90" s="35"/>
      <c r="C90" s="97"/>
      <c r="D90" s="35"/>
      <c r="E90" s="35"/>
      <c r="F90" s="35"/>
      <c r="G90" s="35"/>
      <c r="H90" s="35"/>
      <c r="I90" s="35"/>
      <c r="J90" s="35"/>
    </row>
    <row r="91" spans="2:11" ht="15.75" thickBot="1" x14ac:dyDescent="0.3">
      <c r="B91" s="35"/>
      <c r="C91" s="97" t="s">
        <v>678</v>
      </c>
      <c r="D91" s="35"/>
      <c r="E91" s="35"/>
      <c r="F91" s="35"/>
      <c r="G91" s="35"/>
      <c r="H91" s="35"/>
      <c r="I91" s="239"/>
      <c r="J91" s="240"/>
    </row>
    <row r="92" spans="2:11" ht="15.75" thickBot="1" x14ac:dyDescent="0.3">
      <c r="B92" s="35"/>
      <c r="C92" s="35"/>
      <c r="D92" s="35"/>
      <c r="E92" s="35"/>
      <c r="F92" s="35"/>
      <c r="G92" s="35"/>
      <c r="H92" s="35"/>
      <c r="I92" s="35"/>
      <c r="J92" s="35"/>
    </row>
    <row r="93" spans="2:11" ht="15.75" thickBot="1" x14ac:dyDescent="0.3">
      <c r="B93" s="35"/>
      <c r="C93" s="35"/>
      <c r="D93" s="35"/>
      <c r="E93" s="35"/>
      <c r="F93" s="35"/>
      <c r="G93" s="35"/>
      <c r="H93" s="36" t="s">
        <v>170</v>
      </c>
      <c r="I93" s="190">
        <f>SUM(I87,I89,I91)</f>
        <v>0</v>
      </c>
      <c r="J93" s="191"/>
    </row>
    <row r="94" spans="2:11" x14ac:dyDescent="0.25">
      <c r="B94" s="35"/>
      <c r="C94" s="35"/>
      <c r="D94" s="35"/>
      <c r="E94" s="35"/>
      <c r="F94" s="35"/>
      <c r="G94" s="35"/>
      <c r="H94" s="35"/>
      <c r="I94" s="35"/>
      <c r="J94" s="35"/>
    </row>
    <row r="95" spans="2:11" ht="34.5" customHeight="1" x14ac:dyDescent="0.25">
      <c r="B95" s="159" t="s">
        <v>171</v>
      </c>
      <c r="C95" s="159"/>
      <c r="D95" s="159"/>
      <c r="E95" s="159"/>
      <c r="F95" s="159"/>
      <c r="G95" s="159"/>
      <c r="H95" s="37"/>
      <c r="I95" s="35"/>
      <c r="J95" s="35"/>
    </row>
    <row r="96" spans="2:11" ht="15.75" thickBot="1" x14ac:dyDescent="0.3">
      <c r="B96" s="35"/>
      <c r="C96" s="35"/>
      <c r="D96" s="35"/>
      <c r="E96" s="35"/>
      <c r="F96" s="35"/>
      <c r="G96" s="35"/>
      <c r="H96" s="35"/>
      <c r="I96" s="35"/>
      <c r="J96" s="35"/>
    </row>
    <row r="97" spans="2:10" ht="15.75" thickBot="1" x14ac:dyDescent="0.3">
      <c r="B97" s="35"/>
      <c r="C97" s="170" t="s">
        <v>679</v>
      </c>
      <c r="D97" s="170"/>
      <c r="E97" s="170"/>
      <c r="F97" s="170"/>
      <c r="G97" s="35"/>
      <c r="H97" s="35"/>
      <c r="I97" s="239"/>
      <c r="J97" s="240"/>
    </row>
    <row r="98" spans="2:10" ht="15.75" thickBot="1" x14ac:dyDescent="0.3">
      <c r="B98" s="35"/>
      <c r="C98" s="97"/>
      <c r="D98" s="97"/>
      <c r="E98" s="97"/>
      <c r="F98" s="97"/>
      <c r="G98" s="35"/>
      <c r="H98" s="35"/>
      <c r="I98" s="35"/>
      <c r="J98" s="35"/>
    </row>
    <row r="99" spans="2:10" ht="15.75" thickBot="1" x14ac:dyDescent="0.3">
      <c r="B99" s="35"/>
      <c r="C99" s="170" t="s">
        <v>680</v>
      </c>
      <c r="D99" s="170"/>
      <c r="E99" s="170"/>
      <c r="F99" s="170"/>
      <c r="G99" s="35"/>
      <c r="H99" s="35"/>
      <c r="I99" s="239"/>
      <c r="J99" s="240"/>
    </row>
    <row r="100" spans="2:10" ht="15.75" thickBot="1" x14ac:dyDescent="0.3">
      <c r="B100" s="35"/>
      <c r="C100" s="35"/>
      <c r="D100" s="35"/>
      <c r="E100" s="35"/>
      <c r="F100" s="35"/>
      <c r="G100" s="35"/>
      <c r="H100" s="35"/>
      <c r="I100" s="35"/>
      <c r="J100" s="35"/>
    </row>
    <row r="101" spans="2:10" ht="15.75" thickBot="1" x14ac:dyDescent="0.3">
      <c r="B101" s="12"/>
      <c r="C101" s="13"/>
      <c r="D101" s="13"/>
      <c r="E101" s="13"/>
      <c r="F101" s="13"/>
      <c r="G101" s="13"/>
      <c r="H101" s="13"/>
      <c r="I101" s="14"/>
      <c r="J101" s="15"/>
    </row>
    <row r="102" spans="2:10" x14ac:dyDescent="0.25">
      <c r="B102" s="16"/>
      <c r="C102" s="16"/>
      <c r="D102" s="16"/>
      <c r="E102" s="16"/>
      <c r="F102" s="16"/>
      <c r="G102" s="16"/>
      <c r="H102" s="16"/>
      <c r="I102" s="17"/>
      <c r="J102" s="10"/>
    </row>
    <row r="103" spans="2:10" ht="66.75" customHeight="1" x14ac:dyDescent="0.25">
      <c r="B103" s="134" t="s">
        <v>681</v>
      </c>
      <c r="C103" s="134"/>
      <c r="D103" s="134"/>
      <c r="E103" s="134"/>
      <c r="F103" s="134"/>
      <c r="G103" s="134"/>
      <c r="H103" s="134"/>
      <c r="I103" s="134"/>
      <c r="J103" s="134"/>
    </row>
    <row r="104" spans="2:10" ht="15.75" thickBot="1" x14ac:dyDescent="0.3">
      <c r="B104" s="8"/>
      <c r="C104" s="8"/>
      <c r="D104" s="8"/>
      <c r="E104" s="8"/>
      <c r="F104" s="8"/>
      <c r="G104" s="8"/>
      <c r="H104" s="8"/>
      <c r="I104" s="11"/>
      <c r="J104" s="11"/>
    </row>
    <row r="105" spans="2:10" ht="15.75" thickBot="1" x14ac:dyDescent="0.3">
      <c r="B105" s="171" t="s">
        <v>682</v>
      </c>
      <c r="C105" s="171"/>
      <c r="D105" s="171"/>
      <c r="E105" s="171"/>
      <c r="F105" s="171"/>
      <c r="G105" s="171"/>
      <c r="H105" s="8"/>
      <c r="I105" s="127"/>
      <c r="J105" s="128"/>
    </row>
    <row r="106" spans="2:10" x14ac:dyDescent="0.25">
      <c r="B106" s="8"/>
      <c r="C106" s="8"/>
      <c r="D106" s="8"/>
      <c r="E106" s="8"/>
      <c r="F106" s="8"/>
      <c r="G106" s="8"/>
      <c r="H106" s="8"/>
      <c r="I106" s="11"/>
      <c r="J106" s="11"/>
    </row>
    <row r="107" spans="2:10" ht="77.25" customHeight="1" x14ac:dyDescent="0.25">
      <c r="B107" s="152" t="s">
        <v>186</v>
      </c>
      <c r="C107" s="152"/>
      <c r="D107" s="152"/>
      <c r="E107" s="152"/>
      <c r="F107" s="152"/>
      <c r="G107" s="152"/>
      <c r="H107" s="152"/>
      <c r="I107" s="152"/>
      <c r="J107" s="152"/>
    </row>
    <row r="108" spans="2:10" ht="34.5" customHeight="1" thickBot="1" x14ac:dyDescent="0.3">
      <c r="B108" s="8"/>
      <c r="C108" s="8"/>
      <c r="D108" s="8"/>
      <c r="F108" s="155" t="s">
        <v>173</v>
      </c>
      <c r="G108" s="156"/>
      <c r="H108" s="41"/>
      <c r="I108" s="139" t="s">
        <v>172</v>
      </c>
      <c r="J108" s="140"/>
    </row>
    <row r="109" spans="2:10" ht="15.75" thickBot="1" x14ac:dyDescent="0.3">
      <c r="F109" s="19"/>
      <c r="G109" s="19"/>
      <c r="I109" s="20"/>
      <c r="J109" s="20"/>
    </row>
    <row r="110" spans="2:10" ht="41.25" customHeight="1" thickBot="1" x14ac:dyDescent="0.3">
      <c r="B110" s="121" t="s">
        <v>179</v>
      </c>
      <c r="C110" s="141"/>
      <c r="D110" s="141"/>
      <c r="F110" s="127"/>
      <c r="G110" s="128"/>
      <c r="H110" s="24"/>
      <c r="I110" s="127"/>
      <c r="J110" s="128"/>
    </row>
    <row r="111" spans="2:10" ht="15.75" thickBot="1" x14ac:dyDescent="0.3">
      <c r="F111" s="38"/>
      <c r="G111" s="38"/>
      <c r="H111" s="24"/>
      <c r="I111" s="20"/>
      <c r="J111" s="20"/>
    </row>
    <row r="112" spans="2:10" ht="43.5" customHeight="1" thickBot="1" x14ac:dyDescent="0.3">
      <c r="B112" s="121" t="s">
        <v>178</v>
      </c>
      <c r="C112" s="141"/>
      <c r="D112" s="141"/>
      <c r="F112" s="127"/>
      <c r="G112" s="128"/>
      <c r="H112" s="24"/>
      <c r="I112" s="127"/>
      <c r="J112" s="128"/>
    </row>
    <row r="113" spans="2:11" ht="15.75" thickBot="1" x14ac:dyDescent="0.3">
      <c r="F113" s="19"/>
      <c r="G113" s="19"/>
      <c r="I113" s="20"/>
      <c r="J113" s="20"/>
    </row>
    <row r="114" spans="2:11" ht="15.75" thickBot="1" x14ac:dyDescent="0.3">
      <c r="B114" s="157" t="s">
        <v>177</v>
      </c>
      <c r="C114" s="157"/>
      <c r="D114" s="157"/>
      <c r="F114" s="142"/>
      <c r="G114" s="143"/>
      <c r="I114" s="127"/>
      <c r="J114" s="128"/>
    </row>
    <row r="115" spans="2:11" ht="15.75" thickBot="1" x14ac:dyDescent="0.3">
      <c r="F115" s="8"/>
      <c r="G115" s="8"/>
      <c r="I115" s="11"/>
      <c r="J115" s="11"/>
    </row>
    <row r="116" spans="2:11" ht="15.75" thickBot="1" x14ac:dyDescent="0.3">
      <c r="B116" s="157" t="s">
        <v>683</v>
      </c>
      <c r="C116" s="157"/>
      <c r="D116" s="157"/>
      <c r="F116" s="142"/>
      <c r="G116" s="143"/>
      <c r="I116" s="127"/>
      <c r="J116" s="128"/>
    </row>
    <row r="117" spans="2:11" ht="15.75" thickBot="1" x14ac:dyDescent="0.3">
      <c r="B117" s="8"/>
      <c r="C117" s="8"/>
      <c r="D117" s="8"/>
      <c r="E117" s="8"/>
      <c r="F117" s="8"/>
      <c r="G117" s="8"/>
      <c r="H117" s="8"/>
      <c r="I117" s="11"/>
      <c r="J117" s="11"/>
    </row>
    <row r="118" spans="2:11" ht="56.25" customHeight="1" thickBot="1" x14ac:dyDescent="0.3">
      <c r="B118" s="138" t="s">
        <v>174</v>
      </c>
      <c r="C118" s="138"/>
      <c r="D118" s="138"/>
      <c r="E118" s="8"/>
      <c r="F118" s="127"/>
      <c r="G118" s="128"/>
      <c r="H118" s="11"/>
      <c r="I118" s="127"/>
      <c r="J118" s="128"/>
    </row>
    <row r="119" spans="2:11" ht="15.75" thickBot="1" x14ac:dyDescent="0.3">
      <c r="B119" s="8"/>
      <c r="C119" s="8"/>
      <c r="D119" s="8"/>
      <c r="E119" s="8"/>
      <c r="F119" s="11"/>
      <c r="G119" s="11"/>
      <c r="H119" s="11"/>
      <c r="I119" s="11"/>
      <c r="J119" s="11"/>
    </row>
    <row r="120" spans="2:11" ht="59.25" customHeight="1" thickBot="1" x14ac:dyDescent="0.3">
      <c r="B120" s="138" t="s">
        <v>176</v>
      </c>
      <c r="C120" s="138"/>
      <c r="D120" s="138"/>
      <c r="E120" s="8"/>
      <c r="F120" s="127"/>
      <c r="G120" s="128"/>
      <c r="H120" s="11"/>
      <c r="I120" s="127"/>
      <c r="J120" s="128"/>
    </row>
    <row r="121" spans="2:11" ht="15.75" thickBot="1" x14ac:dyDescent="0.3">
      <c r="B121" s="8"/>
      <c r="C121" s="8"/>
      <c r="D121" s="8"/>
      <c r="E121" s="8"/>
      <c r="F121" s="11"/>
      <c r="G121" s="11"/>
      <c r="H121" s="11"/>
      <c r="I121" s="11"/>
      <c r="J121" s="11"/>
    </row>
    <row r="122" spans="2:11" ht="33.75" customHeight="1" thickBot="1" x14ac:dyDescent="0.3">
      <c r="B122" s="152" t="s">
        <v>175</v>
      </c>
      <c r="C122" s="152"/>
      <c r="D122" s="152"/>
      <c r="E122" s="8"/>
      <c r="F122" s="127"/>
      <c r="G122" s="128"/>
      <c r="H122" s="11"/>
      <c r="I122" s="127"/>
      <c r="J122" s="128"/>
    </row>
    <row r="123" spans="2:11" ht="33.75" customHeight="1" thickBot="1" x14ac:dyDescent="0.3">
      <c r="B123" s="56"/>
      <c r="C123" s="56"/>
      <c r="D123" s="56"/>
      <c r="E123" s="8"/>
      <c r="F123" s="39"/>
      <c r="G123" s="39"/>
      <c r="H123" s="40"/>
      <c r="I123" s="39"/>
      <c r="J123" s="39"/>
    </row>
    <row r="124" spans="2:11" ht="21.75" customHeight="1" thickBot="1" x14ac:dyDescent="0.3">
      <c r="B124" s="56"/>
      <c r="C124" s="56"/>
      <c r="D124" s="56"/>
      <c r="E124" s="18" t="s">
        <v>187</v>
      </c>
      <c r="F124" s="129">
        <f>SUM(F110,F112,F114,F116,F118,F120,F122)</f>
        <v>0</v>
      </c>
      <c r="G124" s="130"/>
      <c r="H124" s="40"/>
      <c r="I124" s="129">
        <f>SUM(I110,I112,I114,I116,I118,I120,I122)</f>
        <v>0</v>
      </c>
      <c r="J124" s="130"/>
    </row>
    <row r="125" spans="2:11" ht="33.75" customHeight="1" thickBot="1" x14ac:dyDescent="0.3">
      <c r="B125" s="56"/>
      <c r="C125" s="56"/>
      <c r="D125" s="56"/>
      <c r="E125" s="8"/>
      <c r="F125" s="39"/>
      <c r="G125" s="39"/>
      <c r="H125" s="40"/>
      <c r="I125" s="39"/>
      <c r="J125" s="39"/>
    </row>
    <row r="126" spans="2:11" ht="30.75" customHeight="1" thickBot="1" x14ac:dyDescent="0.3">
      <c r="B126" s="152" t="s">
        <v>180</v>
      </c>
      <c r="C126" s="152"/>
      <c r="D126" s="152"/>
      <c r="E126" s="8"/>
      <c r="F126" s="127"/>
      <c r="G126" s="195"/>
      <c r="H126" s="195"/>
      <c r="I126" s="195"/>
      <c r="J126" s="195"/>
      <c r="K126" s="65"/>
    </row>
    <row r="127" spans="2:11" ht="15.75" thickBot="1" x14ac:dyDescent="0.3">
      <c r="C127" s="8"/>
      <c r="D127" s="8"/>
      <c r="E127" s="8"/>
      <c r="F127" s="8"/>
      <c r="G127" s="8"/>
      <c r="H127" s="8"/>
      <c r="I127" s="11"/>
      <c r="J127" s="11"/>
    </row>
    <row r="128" spans="2:11" ht="15.75" thickBot="1" x14ac:dyDescent="0.3">
      <c r="B128" s="12"/>
      <c r="C128" s="13"/>
      <c r="D128" s="13"/>
      <c r="E128" s="13"/>
      <c r="F128" s="13"/>
      <c r="G128" s="13"/>
      <c r="H128" s="13"/>
      <c r="I128" s="14"/>
      <c r="J128" s="15"/>
    </row>
    <row r="129" spans="2:10" x14ac:dyDescent="0.25">
      <c r="B129" s="16"/>
      <c r="C129" s="16"/>
      <c r="D129" s="16"/>
      <c r="E129" s="16"/>
      <c r="F129" s="16"/>
      <c r="G129" s="16"/>
      <c r="H129" s="16"/>
      <c r="I129" s="17"/>
      <c r="J129" s="10"/>
    </row>
    <row r="130" spans="2:10" ht="34.5" customHeight="1" x14ac:dyDescent="0.25">
      <c r="B130" s="134" t="s">
        <v>746</v>
      </c>
      <c r="C130" s="134"/>
      <c r="D130" s="134"/>
      <c r="E130" s="134"/>
      <c r="F130" s="134"/>
      <c r="G130" s="134"/>
      <c r="H130" s="134"/>
      <c r="I130" s="134"/>
      <c r="J130" s="134"/>
    </row>
    <row r="131" spans="2:10" ht="215.25" customHeight="1" x14ac:dyDescent="0.25">
      <c r="B131" s="168" t="s">
        <v>684</v>
      </c>
      <c r="C131" s="169"/>
      <c r="D131" s="169"/>
      <c r="E131" s="169"/>
      <c r="F131" s="169"/>
      <c r="G131" s="169"/>
      <c r="H131" s="169"/>
      <c r="I131" s="169"/>
      <c r="J131" s="169"/>
    </row>
    <row r="132" spans="2:10" ht="49.5" customHeight="1" thickBot="1" x14ac:dyDescent="0.3">
      <c r="B132" s="21"/>
      <c r="C132" s="21"/>
      <c r="D132" s="21"/>
      <c r="E132" s="21"/>
      <c r="F132" s="22" t="s">
        <v>5</v>
      </c>
      <c r="G132" s="21"/>
      <c r="H132" s="22" t="s">
        <v>6</v>
      </c>
      <c r="I132" s="23"/>
      <c r="J132" s="22" t="s">
        <v>7</v>
      </c>
    </row>
    <row r="133" spans="2:10" ht="60.75" customHeight="1" thickBot="1" x14ac:dyDescent="0.3">
      <c r="B133" s="162" t="s">
        <v>685</v>
      </c>
      <c r="C133" s="162"/>
      <c r="D133" s="162"/>
      <c r="E133" s="8"/>
      <c r="F133" s="119"/>
      <c r="G133" s="8"/>
      <c r="H133" s="119"/>
      <c r="I133" s="11"/>
      <c r="J133" s="119"/>
    </row>
    <row r="134" spans="2:10" ht="15.75" thickBot="1" x14ac:dyDescent="0.3"/>
    <row r="135" spans="2:10" ht="66" customHeight="1" thickBot="1" x14ac:dyDescent="0.3">
      <c r="B135" s="133" t="s">
        <v>686</v>
      </c>
      <c r="C135" s="133"/>
      <c r="D135" s="133"/>
      <c r="F135" s="119"/>
      <c r="G135" s="8"/>
      <c r="H135" s="119"/>
      <c r="I135" s="11"/>
      <c r="J135" s="119"/>
    </row>
    <row r="136" spans="2:10" ht="15.75" thickBot="1" x14ac:dyDescent="0.3"/>
    <row r="137" spans="2:10" ht="15.75" thickBot="1" x14ac:dyDescent="0.3">
      <c r="B137" s="126" t="s">
        <v>182</v>
      </c>
      <c r="C137" s="126"/>
      <c r="D137" s="126"/>
      <c r="F137" s="119"/>
      <c r="G137" s="8"/>
      <c r="H137" s="119"/>
      <c r="I137" s="11"/>
      <c r="J137" s="119"/>
    </row>
    <row r="138" spans="2:10" ht="15.75" thickBot="1" x14ac:dyDescent="0.3"/>
    <row r="139" spans="2:10" ht="18" customHeight="1" thickBot="1" x14ac:dyDescent="0.3">
      <c r="B139" s="141" t="s">
        <v>183</v>
      </c>
      <c r="C139" s="141"/>
      <c r="D139" s="141"/>
      <c r="F139" s="119"/>
      <c r="G139" s="8"/>
      <c r="H139" s="119"/>
      <c r="I139" s="11"/>
      <c r="J139" s="119"/>
    </row>
    <row r="140" spans="2:10" ht="15.75" thickBot="1" x14ac:dyDescent="0.3"/>
    <row r="141" spans="2:10" ht="69.75" customHeight="1" thickBot="1" x14ac:dyDescent="0.3">
      <c r="B141" s="133" t="s">
        <v>181</v>
      </c>
      <c r="C141" s="133"/>
      <c r="D141" s="133"/>
      <c r="F141" s="119"/>
      <c r="G141" s="8"/>
      <c r="H141" s="119"/>
      <c r="I141" s="11"/>
      <c r="J141" s="119"/>
    </row>
    <row r="142" spans="2:10" ht="15.75" thickBot="1" x14ac:dyDescent="0.3"/>
    <row r="143" spans="2:10" ht="59.25" customHeight="1" thickBot="1" x14ac:dyDescent="0.3">
      <c r="B143" s="133" t="s">
        <v>185</v>
      </c>
      <c r="C143" s="133"/>
      <c r="D143" s="133"/>
      <c r="F143" s="119"/>
      <c r="G143" s="8"/>
      <c r="H143" s="119"/>
      <c r="I143" s="11"/>
      <c r="J143" s="119"/>
    </row>
    <row r="144" spans="2:10" ht="15.75" thickBot="1" x14ac:dyDescent="0.3"/>
    <row r="145" spans="2:11" ht="35.25" customHeight="1" thickBot="1" x14ac:dyDescent="0.3">
      <c r="B145" s="121" t="s">
        <v>184</v>
      </c>
      <c r="C145" s="121"/>
      <c r="D145" s="121"/>
      <c r="F145" s="119"/>
      <c r="G145" s="8"/>
      <c r="H145" s="119"/>
      <c r="I145" s="11"/>
      <c r="J145" s="119"/>
    </row>
    <row r="146" spans="2:11" ht="15.75" thickBot="1" x14ac:dyDescent="0.3">
      <c r="F146" s="26"/>
      <c r="G146" s="26"/>
    </row>
    <row r="147" spans="2:11" ht="24" customHeight="1" thickBot="1" x14ac:dyDescent="0.3">
      <c r="E147" s="27" t="s">
        <v>8</v>
      </c>
      <c r="F147" s="241">
        <f>SUM(F133,F135,F137,F139,F141,F143,F145)</f>
        <v>0</v>
      </c>
      <c r="G147" s="8"/>
      <c r="H147" s="241">
        <f>SUM(H133,H135,H137,H139,H141,H143,H145)</f>
        <v>0</v>
      </c>
      <c r="I147" s="11"/>
      <c r="J147" s="241">
        <f>SUM(J133,J135,J137,J139,J141,J143,J145)</f>
        <v>0</v>
      </c>
    </row>
    <row r="148" spans="2:11" x14ac:dyDescent="0.25">
      <c r="B148" s="28"/>
      <c r="C148" s="28"/>
      <c r="D148" s="28"/>
      <c r="E148" s="28"/>
      <c r="F148" s="28"/>
      <c r="G148" s="28"/>
      <c r="H148" s="28"/>
      <c r="I148" s="29"/>
      <c r="J148" s="29"/>
    </row>
    <row r="149" spans="2:11" ht="15.75" customHeight="1" x14ac:dyDescent="0.25">
      <c r="B149" s="164" t="s">
        <v>9</v>
      </c>
      <c r="C149" s="164"/>
      <c r="D149" s="164"/>
      <c r="E149" s="164"/>
      <c r="F149" s="164"/>
      <c r="G149" s="164"/>
      <c r="H149" s="164"/>
      <c r="I149" s="164"/>
      <c r="J149" s="164"/>
    </row>
    <row r="150" spans="2:11" ht="15.75" thickBot="1" x14ac:dyDescent="0.3"/>
    <row r="151" spans="2:11" ht="15.75" thickBot="1" x14ac:dyDescent="0.3">
      <c r="B151" s="165"/>
      <c r="C151" s="166"/>
      <c r="D151" s="166"/>
      <c r="E151" s="166"/>
      <c r="F151" s="166"/>
      <c r="G151" s="166"/>
      <c r="H151" s="166"/>
      <c r="I151" s="166"/>
      <c r="J151" s="167"/>
    </row>
    <row r="153" spans="2:11" ht="15.75" thickBot="1" x14ac:dyDescent="0.3">
      <c r="C153" s="8"/>
      <c r="D153" s="8"/>
      <c r="E153" s="8"/>
      <c r="F153" s="8"/>
      <c r="G153" s="8"/>
      <c r="H153" s="8"/>
      <c r="I153" s="11"/>
      <c r="J153" s="11"/>
    </row>
    <row r="154" spans="2:11" ht="15.75" thickBot="1" x14ac:dyDescent="0.3">
      <c r="B154" s="12"/>
      <c r="C154" s="13"/>
      <c r="D154" s="13"/>
      <c r="E154" s="13"/>
      <c r="F154" s="13"/>
      <c r="G154" s="13"/>
      <c r="H154" s="13"/>
      <c r="I154" s="14"/>
      <c r="J154" s="15"/>
    </row>
    <row r="155" spans="2:11" x14ac:dyDescent="0.25">
      <c r="B155" s="16"/>
      <c r="C155" s="16"/>
      <c r="D155" s="16"/>
      <c r="E155" s="16"/>
      <c r="F155" s="16"/>
      <c r="G155" s="16"/>
      <c r="H155" s="16"/>
      <c r="I155" s="17"/>
      <c r="J155" s="10"/>
    </row>
    <row r="156" spans="2:11" ht="144.75" customHeight="1" x14ac:dyDescent="0.25">
      <c r="B156" s="154" t="s">
        <v>747</v>
      </c>
      <c r="C156" s="154"/>
      <c r="D156" s="154"/>
      <c r="E156" s="154"/>
      <c r="F156" s="154"/>
      <c r="G156" s="154"/>
      <c r="H156" s="154"/>
      <c r="I156" s="154"/>
      <c r="J156" s="154"/>
    </row>
    <row r="157" spans="2:11" ht="18.75" customHeight="1" x14ac:dyDescent="0.25">
      <c r="B157" s="55"/>
      <c r="C157" s="55"/>
      <c r="D157" s="55"/>
      <c r="E157" s="55"/>
      <c r="F157" s="55"/>
      <c r="G157" s="55"/>
      <c r="H157" s="48"/>
      <c r="I157" s="48"/>
      <c r="J157" s="48"/>
      <c r="K157" s="63"/>
    </row>
    <row r="158" spans="2:11" ht="28.5" customHeight="1" x14ac:dyDescent="0.25">
      <c r="B158" s="152" t="s">
        <v>188</v>
      </c>
      <c r="C158" s="152"/>
      <c r="D158" s="152"/>
      <c r="E158" s="152"/>
      <c r="F158" s="152"/>
      <c r="G158" s="152"/>
      <c r="H158" s="48"/>
      <c r="I158" s="153"/>
      <c r="J158" s="153"/>
      <c r="K158" s="63"/>
    </row>
    <row r="159" spans="2:11" ht="15.75" thickBot="1" x14ac:dyDescent="0.3"/>
    <row r="160" spans="2:11" ht="15.75" thickBot="1" x14ac:dyDescent="0.3">
      <c r="C160" s="126" t="s">
        <v>189</v>
      </c>
      <c r="D160" s="126"/>
      <c r="E160" s="126"/>
      <c r="F160" s="126"/>
      <c r="G160" s="126"/>
      <c r="I160" s="127"/>
      <c r="J160" s="128"/>
    </row>
    <row r="161" spans="2:10" ht="15.75" thickBot="1" x14ac:dyDescent="0.3"/>
    <row r="162" spans="2:10" ht="28.5" customHeight="1" thickBot="1" x14ac:dyDescent="0.3">
      <c r="B162" s="121" t="s">
        <v>190</v>
      </c>
      <c r="C162" s="121"/>
      <c r="D162" s="121"/>
      <c r="E162" s="121"/>
      <c r="F162" s="121"/>
      <c r="G162" s="121"/>
      <c r="I162" s="127"/>
      <c r="J162" s="128"/>
    </row>
    <row r="164" spans="2:10" x14ac:dyDescent="0.25">
      <c r="B164" s="126" t="s">
        <v>191</v>
      </c>
      <c r="C164" s="126"/>
      <c r="D164" s="126"/>
      <c r="E164" s="126"/>
      <c r="F164" s="126"/>
      <c r="G164" s="126"/>
      <c r="I164" s="42"/>
      <c r="J164" s="42"/>
    </row>
    <row r="165" spans="2:10" ht="15.75" thickBot="1" x14ac:dyDescent="0.3">
      <c r="B165" s="60"/>
      <c r="C165" s="60"/>
      <c r="D165" s="60"/>
      <c r="E165" s="60"/>
      <c r="F165" s="60"/>
      <c r="G165" s="60"/>
      <c r="I165" s="42"/>
      <c r="J165" s="42"/>
    </row>
    <row r="166" spans="2:10" ht="15.75" thickBot="1" x14ac:dyDescent="0.3">
      <c r="B166" s="60"/>
      <c r="C166" s="126" t="s">
        <v>192</v>
      </c>
      <c r="D166" s="126"/>
      <c r="E166" s="126"/>
      <c r="F166" s="126"/>
      <c r="G166" s="126"/>
      <c r="I166" s="127"/>
      <c r="J166" s="128"/>
    </row>
    <row r="167" spans="2:10" ht="15.75" thickBot="1" x14ac:dyDescent="0.3">
      <c r="B167" s="60"/>
      <c r="C167" s="60"/>
      <c r="D167" s="60"/>
      <c r="E167" s="60"/>
      <c r="F167" s="60"/>
      <c r="G167" s="60"/>
      <c r="I167" s="42"/>
      <c r="J167" s="42"/>
    </row>
    <row r="168" spans="2:10" ht="15.75" thickBot="1" x14ac:dyDescent="0.3">
      <c r="B168" s="60"/>
      <c r="C168" s="126" t="s">
        <v>193</v>
      </c>
      <c r="D168" s="126"/>
      <c r="E168" s="126"/>
      <c r="F168" s="126"/>
      <c r="G168" s="126"/>
      <c r="I168" s="127"/>
      <c r="J168" s="128"/>
    </row>
    <row r="169" spans="2:10" ht="15.75" thickBot="1" x14ac:dyDescent="0.3">
      <c r="B169" s="60"/>
      <c r="C169" s="50"/>
      <c r="D169" s="50"/>
      <c r="E169" s="50"/>
      <c r="F169" s="50"/>
      <c r="G169" s="50"/>
      <c r="I169" s="42"/>
      <c r="J169" s="42"/>
    </row>
    <row r="170" spans="2:10" ht="15.75" thickBot="1" x14ac:dyDescent="0.3">
      <c r="B170" s="60"/>
      <c r="C170" s="50"/>
      <c r="D170" s="50"/>
      <c r="E170" s="50"/>
      <c r="F170" s="144" t="s">
        <v>687</v>
      </c>
      <c r="G170" s="144"/>
      <c r="H170" s="144"/>
      <c r="I170" s="150">
        <f>SUM(I166,I168)</f>
        <v>0</v>
      </c>
      <c r="J170" s="151"/>
    </row>
    <row r="171" spans="2:10" ht="15.75" thickBot="1" x14ac:dyDescent="0.3">
      <c r="B171" s="60"/>
      <c r="C171" s="50"/>
      <c r="D171" s="50"/>
      <c r="E171" s="50"/>
      <c r="F171" s="58"/>
      <c r="G171" s="58"/>
      <c r="H171" s="58"/>
      <c r="I171" s="43"/>
      <c r="J171" s="43"/>
    </row>
    <row r="172" spans="2:10" ht="15.75" thickBot="1" x14ac:dyDescent="0.3">
      <c r="B172" s="60"/>
      <c r="C172" s="50" t="s">
        <v>194</v>
      </c>
      <c r="D172" s="50"/>
      <c r="E172" s="50"/>
      <c r="F172" s="58"/>
      <c r="G172" s="58"/>
      <c r="H172" s="58"/>
      <c r="I172" s="127"/>
      <c r="J172" s="128"/>
    </row>
    <row r="173" spans="2:10" ht="15.75" thickBot="1" x14ac:dyDescent="0.3">
      <c r="B173" s="60"/>
      <c r="C173" s="50"/>
      <c r="D173" s="50"/>
      <c r="E173" s="50"/>
      <c r="F173" s="58"/>
      <c r="G173" s="58"/>
      <c r="H173" s="58"/>
      <c r="I173" s="43"/>
      <c r="J173" s="43"/>
    </row>
    <row r="174" spans="2:10" ht="15.75" thickBot="1" x14ac:dyDescent="0.3">
      <c r="B174" s="60"/>
      <c r="C174" s="50" t="s">
        <v>195</v>
      </c>
      <c r="D174" s="50"/>
      <c r="E174" s="50"/>
      <c r="F174" s="58"/>
      <c r="G174" s="58"/>
      <c r="H174" s="58"/>
      <c r="I174" s="127"/>
      <c r="J174" s="128"/>
    </row>
    <row r="175" spans="2:10" ht="15.75" thickBot="1" x14ac:dyDescent="0.3">
      <c r="B175" s="60"/>
      <c r="C175" s="50"/>
      <c r="D175" s="50"/>
      <c r="E175" s="50"/>
      <c r="F175" s="58"/>
      <c r="G175" s="58"/>
      <c r="H175" s="58"/>
      <c r="I175" s="43"/>
      <c r="J175" s="43"/>
    </row>
    <row r="176" spans="2:10" ht="15.75" thickBot="1" x14ac:dyDescent="0.3">
      <c r="B176" s="60"/>
      <c r="C176" s="50"/>
      <c r="D176" s="50"/>
      <c r="E176" s="50"/>
      <c r="F176" s="144" t="s">
        <v>688</v>
      </c>
      <c r="G176" s="144"/>
      <c r="H176" s="144"/>
      <c r="I176" s="150">
        <f>SUM(I172,I174)</f>
        <v>0</v>
      </c>
      <c r="J176" s="151"/>
    </row>
    <row r="177" spans="2:10" x14ac:dyDescent="0.25">
      <c r="B177" s="60"/>
      <c r="C177" s="50"/>
      <c r="D177" s="50"/>
      <c r="E177" s="50"/>
      <c r="F177" s="50"/>
      <c r="G177" s="50"/>
      <c r="I177" s="43"/>
      <c r="J177" s="43"/>
    </row>
    <row r="178" spans="2:10" x14ac:dyDescent="0.25">
      <c r="B178" s="126" t="s">
        <v>196</v>
      </c>
      <c r="C178" s="126"/>
      <c r="D178" s="126"/>
      <c r="E178" s="126"/>
      <c r="F178" s="126"/>
      <c r="G178" s="126"/>
      <c r="H178" s="126"/>
      <c r="I178" s="42"/>
      <c r="J178" s="42"/>
    </row>
    <row r="179" spans="2:10" ht="15.75" thickBot="1" x14ac:dyDescent="0.3">
      <c r="B179" s="60"/>
      <c r="C179" s="60"/>
      <c r="D179" s="60"/>
      <c r="E179" s="60"/>
      <c r="F179" s="60"/>
      <c r="G179" s="60"/>
      <c r="I179" s="42"/>
      <c r="J179" s="42"/>
    </row>
    <row r="180" spans="2:10" ht="29.25" customHeight="1" thickBot="1" x14ac:dyDescent="0.3">
      <c r="B180" s="60"/>
      <c r="C180" s="121" t="s">
        <v>748</v>
      </c>
      <c r="D180" s="121"/>
      <c r="E180" s="121"/>
      <c r="F180" s="121"/>
      <c r="G180" s="121"/>
      <c r="I180" s="127"/>
      <c r="J180" s="128"/>
    </row>
    <row r="181" spans="2:10" ht="15.75" thickBot="1" x14ac:dyDescent="0.3">
      <c r="B181" s="60"/>
      <c r="C181" s="60"/>
      <c r="D181" s="60"/>
      <c r="E181" s="60"/>
      <c r="F181" s="60"/>
      <c r="G181" s="60"/>
      <c r="I181" s="42"/>
      <c r="J181" s="42"/>
    </row>
    <row r="182" spans="2:10" ht="15.75" thickBot="1" x14ac:dyDescent="0.3">
      <c r="B182" s="60"/>
      <c r="C182" s="141" t="s">
        <v>197</v>
      </c>
      <c r="D182" s="141"/>
      <c r="E182" s="141"/>
      <c r="F182" s="141"/>
      <c r="G182" s="141"/>
      <c r="I182" s="127"/>
      <c r="J182" s="128"/>
    </row>
    <row r="183" spans="2:10" ht="15.75" thickBot="1" x14ac:dyDescent="0.3">
      <c r="B183" s="60"/>
      <c r="C183" s="51"/>
      <c r="D183" s="51"/>
      <c r="E183" s="51"/>
      <c r="F183" s="51"/>
      <c r="G183" s="51"/>
      <c r="I183" s="39"/>
      <c r="J183" s="39"/>
    </row>
    <row r="184" spans="2:10" ht="15.75" thickBot="1" x14ac:dyDescent="0.3">
      <c r="B184" s="60"/>
      <c r="C184" s="51"/>
      <c r="D184" s="51"/>
      <c r="E184" s="144" t="s">
        <v>742</v>
      </c>
      <c r="F184" s="144"/>
      <c r="G184" s="144"/>
      <c r="H184" s="145"/>
      <c r="I184" s="242">
        <f>SUM(I180,I182)</f>
        <v>0</v>
      </c>
      <c r="J184" s="243"/>
    </row>
    <row r="185" spans="2:10" ht="15.75" thickBot="1" x14ac:dyDescent="0.3">
      <c r="B185" s="60"/>
      <c r="C185" s="51"/>
      <c r="D185" s="51"/>
      <c r="E185" s="51"/>
      <c r="F185" s="51"/>
      <c r="G185" s="51"/>
      <c r="I185" s="39"/>
      <c r="J185" s="39"/>
    </row>
    <row r="186" spans="2:10" ht="15.75" thickBot="1" x14ac:dyDescent="0.3">
      <c r="B186" s="60"/>
      <c r="C186" s="51" t="s">
        <v>198</v>
      </c>
      <c r="D186" s="51"/>
      <c r="E186" s="51"/>
      <c r="F186" s="51"/>
      <c r="G186" s="51"/>
      <c r="I186" s="127"/>
      <c r="J186" s="128"/>
    </row>
    <row r="187" spans="2:10" ht="15.75" thickBot="1" x14ac:dyDescent="0.3">
      <c r="B187" s="60"/>
      <c r="C187" s="51"/>
      <c r="D187" s="51"/>
      <c r="E187" s="51"/>
      <c r="F187" s="51"/>
      <c r="G187" s="51"/>
      <c r="I187" s="39"/>
      <c r="J187" s="39"/>
    </row>
    <row r="188" spans="2:10" ht="15.75" thickBot="1" x14ac:dyDescent="0.3">
      <c r="B188" s="60"/>
      <c r="C188" s="51" t="s">
        <v>199</v>
      </c>
      <c r="D188" s="51"/>
      <c r="E188" s="51"/>
      <c r="F188" s="51"/>
      <c r="G188" s="51"/>
      <c r="I188" s="127"/>
      <c r="J188" s="128"/>
    </row>
    <row r="189" spans="2:10" ht="15.75" thickBot="1" x14ac:dyDescent="0.3">
      <c r="B189" s="60"/>
      <c r="C189" s="51"/>
      <c r="D189" s="51"/>
      <c r="E189" s="51"/>
      <c r="F189" s="51"/>
      <c r="G189" s="51"/>
      <c r="I189" s="39"/>
      <c r="J189" s="39"/>
    </row>
    <row r="190" spans="2:10" ht="15.75" thickBot="1" x14ac:dyDescent="0.3">
      <c r="B190" s="60"/>
      <c r="C190" s="51"/>
      <c r="D190" s="51"/>
      <c r="E190" s="144" t="s">
        <v>742</v>
      </c>
      <c r="F190" s="144"/>
      <c r="G190" s="144"/>
      <c r="H190" s="145"/>
      <c r="I190" s="242">
        <f>SUM(I186,I188)</f>
        <v>0</v>
      </c>
      <c r="J190" s="243"/>
    </row>
    <row r="192" spans="2:10" x14ac:dyDescent="0.25">
      <c r="B192" s="126" t="s">
        <v>200</v>
      </c>
      <c r="C192" s="126"/>
      <c r="D192" s="126"/>
      <c r="E192" s="126"/>
      <c r="F192" s="126"/>
      <c r="G192" s="126"/>
    </row>
    <row r="193" spans="2:10" ht="15.75" thickBot="1" x14ac:dyDescent="0.3"/>
    <row r="194" spans="2:10" ht="15.75" thickBot="1" x14ac:dyDescent="0.3">
      <c r="C194" s="126" t="s">
        <v>749</v>
      </c>
      <c r="D194" s="126"/>
      <c r="E194" s="126"/>
      <c r="F194" s="126"/>
      <c r="G194" s="126"/>
      <c r="I194" s="127"/>
      <c r="J194" s="128"/>
    </row>
    <row r="195" spans="2:10" ht="15.75" thickBot="1" x14ac:dyDescent="0.3"/>
    <row r="196" spans="2:10" ht="32.25" customHeight="1" thickBot="1" x14ac:dyDescent="0.3">
      <c r="C196" s="121" t="s">
        <v>750</v>
      </c>
      <c r="D196" s="141"/>
      <c r="E196" s="141"/>
      <c r="F196" s="141"/>
      <c r="G196" s="141"/>
      <c r="I196" s="127"/>
      <c r="J196" s="128"/>
    </row>
    <row r="197" spans="2:10" ht="15.75" thickBot="1" x14ac:dyDescent="0.3"/>
    <row r="198" spans="2:10" ht="33" customHeight="1" thickBot="1" x14ac:dyDescent="0.3">
      <c r="D198" s="146" t="s">
        <v>689</v>
      </c>
      <c r="E198" s="146"/>
      <c r="F198" s="146"/>
      <c r="G198" s="146"/>
      <c r="H198" s="146"/>
      <c r="I198" s="147">
        <f>IFERROR(I194/I196, 0)</f>
        <v>0</v>
      </c>
      <c r="J198" s="148"/>
    </row>
    <row r="200" spans="2:10" ht="15.75" thickBot="1" x14ac:dyDescent="0.3">
      <c r="C200" s="8"/>
      <c r="D200" s="8"/>
      <c r="E200" s="8"/>
      <c r="F200" s="8"/>
      <c r="G200" s="8"/>
      <c r="H200" s="8"/>
      <c r="I200" s="11"/>
      <c r="J200" s="11"/>
    </row>
    <row r="201" spans="2:10" ht="15.75" thickBot="1" x14ac:dyDescent="0.3">
      <c r="B201" s="12"/>
      <c r="C201" s="13"/>
      <c r="D201" s="13"/>
      <c r="E201" s="13"/>
      <c r="F201" s="13"/>
      <c r="G201" s="13"/>
      <c r="H201" s="13"/>
      <c r="I201" s="14"/>
      <c r="J201" s="15"/>
    </row>
    <row r="202" spans="2:10" x14ac:dyDescent="0.25">
      <c r="B202" s="16"/>
      <c r="C202" s="16"/>
      <c r="D202" s="16"/>
      <c r="E202" s="16"/>
      <c r="F202" s="16"/>
      <c r="G202" s="16"/>
      <c r="H202" s="16"/>
      <c r="I202" s="17"/>
      <c r="J202" s="10"/>
    </row>
    <row r="203" spans="2:10" ht="39.75" customHeight="1" x14ac:dyDescent="0.25">
      <c r="B203" s="134" t="s">
        <v>205</v>
      </c>
      <c r="C203" s="134"/>
      <c r="D203" s="134"/>
      <c r="E203" s="134"/>
      <c r="F203" s="134"/>
      <c r="G203" s="134"/>
      <c r="H203" s="134"/>
      <c r="I203" s="134"/>
      <c r="J203" s="134"/>
    </row>
    <row r="204" spans="2:10" ht="15.75" x14ac:dyDescent="0.25">
      <c r="B204" s="55"/>
      <c r="C204" s="55"/>
      <c r="D204" s="55"/>
      <c r="E204" s="55"/>
      <c r="F204" s="55"/>
      <c r="G204" s="55"/>
      <c r="H204" s="55"/>
      <c r="I204" s="55"/>
      <c r="J204" s="55"/>
    </row>
    <row r="205" spans="2:10" x14ac:dyDescent="0.25">
      <c r="B205" s="149" t="s">
        <v>690</v>
      </c>
      <c r="C205" s="149"/>
      <c r="D205" s="149"/>
      <c r="E205" s="149"/>
      <c r="F205" s="149"/>
      <c r="G205" s="149"/>
      <c r="H205" s="149"/>
      <c r="I205" s="149"/>
      <c r="J205" s="149"/>
    </row>
    <row r="206" spans="2:10" x14ac:dyDescent="0.25">
      <c r="B206" s="149"/>
      <c r="C206" s="149"/>
      <c r="D206" s="149"/>
      <c r="E206" s="149"/>
      <c r="F206" s="149"/>
      <c r="G206" s="149"/>
      <c r="H206" s="149"/>
      <c r="I206" s="149"/>
      <c r="J206" s="149"/>
    </row>
    <row r="207" spans="2:10" x14ac:dyDescent="0.25">
      <c r="B207" s="149"/>
      <c r="C207" s="149"/>
      <c r="D207" s="149"/>
      <c r="E207" s="149"/>
      <c r="F207" s="149"/>
      <c r="G207" s="149"/>
      <c r="H207" s="149"/>
      <c r="I207" s="149"/>
      <c r="J207" s="149"/>
    </row>
    <row r="208" spans="2:10" ht="34.5" customHeight="1" x14ac:dyDescent="0.25">
      <c r="B208" s="149"/>
      <c r="C208" s="149"/>
      <c r="D208" s="149"/>
      <c r="E208" s="149"/>
      <c r="F208" s="149"/>
      <c r="G208" s="149"/>
      <c r="H208" s="149"/>
      <c r="I208" s="149"/>
      <c r="J208" s="149"/>
    </row>
    <row r="210" spans="1:8" ht="30" customHeight="1" x14ac:dyDescent="0.25">
      <c r="G210" s="131" t="s">
        <v>164</v>
      </c>
      <c r="H210" s="132"/>
    </row>
    <row r="211" spans="1:8" ht="15.75" thickBot="1" x14ac:dyDescent="0.3"/>
    <row r="212" spans="1:8" ht="42.75" customHeight="1" thickBot="1" x14ac:dyDescent="0.3">
      <c r="C212" s="121" t="s">
        <v>685</v>
      </c>
      <c r="D212" s="121"/>
      <c r="E212" s="121"/>
      <c r="G212" s="127"/>
      <c r="H212" s="128"/>
    </row>
    <row r="213" spans="1:8" ht="15.75" thickBot="1" x14ac:dyDescent="0.3">
      <c r="G213" s="24"/>
      <c r="H213" s="24"/>
    </row>
    <row r="214" spans="1:8" ht="39.75" customHeight="1" thickBot="1" x14ac:dyDescent="0.3">
      <c r="C214" s="121" t="s">
        <v>691</v>
      </c>
      <c r="D214" s="121"/>
      <c r="E214" s="121"/>
      <c r="G214" s="127"/>
      <c r="H214" s="128"/>
    </row>
    <row r="215" spans="1:8" ht="15.75" thickBot="1" x14ac:dyDescent="0.3">
      <c r="G215" s="24"/>
      <c r="H215" s="24"/>
    </row>
    <row r="216" spans="1:8" ht="15.75" thickBot="1" x14ac:dyDescent="0.3">
      <c r="C216" s="126" t="s">
        <v>201</v>
      </c>
      <c r="D216" s="126"/>
      <c r="E216" s="126"/>
      <c r="G216" s="127"/>
      <c r="H216" s="128"/>
    </row>
    <row r="217" spans="1:8" ht="15.75" thickBot="1" x14ac:dyDescent="0.3">
      <c r="G217" s="24"/>
      <c r="H217" s="24"/>
    </row>
    <row r="218" spans="1:8" ht="15.75" thickBot="1" x14ac:dyDescent="0.3">
      <c r="C218" s="133" t="s">
        <v>692</v>
      </c>
      <c r="D218" s="133"/>
      <c r="E218" s="133"/>
      <c r="G218" s="127"/>
      <c r="H218" s="128"/>
    </row>
    <row r="219" spans="1:8" ht="15.75" thickBot="1" x14ac:dyDescent="0.3">
      <c r="G219" s="24"/>
      <c r="H219" s="24"/>
    </row>
    <row r="220" spans="1:8" ht="54" customHeight="1" thickBot="1" x14ac:dyDescent="0.3">
      <c r="C220" s="121" t="s">
        <v>202</v>
      </c>
      <c r="D220" s="121"/>
      <c r="E220" s="121"/>
      <c r="G220" s="127"/>
      <c r="H220" s="128"/>
    </row>
    <row r="221" spans="1:8" ht="15.75" thickBot="1" x14ac:dyDescent="0.3">
      <c r="G221" s="24"/>
      <c r="H221" s="24"/>
    </row>
    <row r="222" spans="1:8" ht="80.25" customHeight="1" thickBot="1" x14ac:dyDescent="0.3">
      <c r="A222" s="46" t="s">
        <v>10</v>
      </c>
      <c r="C222" s="121" t="s">
        <v>203</v>
      </c>
      <c r="D222" s="121"/>
      <c r="E222" s="121"/>
      <c r="G222" s="127"/>
      <c r="H222" s="128"/>
    </row>
    <row r="223" spans="1:8" ht="16.5" customHeight="1" thickBot="1" x14ac:dyDescent="0.3">
      <c r="G223" s="24"/>
      <c r="H223" s="24"/>
    </row>
    <row r="224" spans="1:8" ht="50.25" customHeight="1" x14ac:dyDescent="0.25">
      <c r="C224" s="133" t="s">
        <v>204</v>
      </c>
      <c r="D224" s="133"/>
      <c r="E224" s="133"/>
      <c r="G224" s="122"/>
      <c r="H224" s="123"/>
    </row>
    <row r="225" spans="2:10" ht="26.25" customHeight="1" thickBot="1" x14ac:dyDescent="0.3">
      <c r="C225" s="49"/>
      <c r="D225" s="49"/>
      <c r="G225" s="124"/>
      <c r="H225" s="125"/>
    </row>
    <row r="226" spans="2:10" ht="15.75" thickBot="1" x14ac:dyDescent="0.3">
      <c r="G226" s="24"/>
      <c r="H226" s="24"/>
    </row>
    <row r="227" spans="2:10" ht="16.5" thickBot="1" x14ac:dyDescent="0.3">
      <c r="F227" s="44" t="s">
        <v>170</v>
      </c>
      <c r="G227" s="129">
        <f>SUM(G212,G214,G216,G218,G220,G222,G224)</f>
        <v>0</v>
      </c>
      <c r="H227" s="130"/>
    </row>
    <row r="228" spans="2:10" ht="15.75" thickBot="1" x14ac:dyDescent="0.3"/>
    <row r="229" spans="2:10" ht="107.25" customHeight="1" thickBot="1" x14ac:dyDescent="0.3">
      <c r="C229" s="136" t="s">
        <v>751</v>
      </c>
      <c r="D229" s="136"/>
      <c r="E229" s="136"/>
      <c r="G229" s="127"/>
      <c r="H229" s="128"/>
    </row>
    <row r="230" spans="2:10" ht="15.75" thickBot="1" x14ac:dyDescent="0.3"/>
    <row r="231" spans="2:10" ht="15.75" thickBot="1" x14ac:dyDescent="0.3">
      <c r="B231" s="12"/>
      <c r="C231" s="13"/>
      <c r="D231" s="13"/>
      <c r="E231" s="13"/>
      <c r="F231" s="13"/>
      <c r="G231" s="13"/>
      <c r="H231" s="13"/>
      <c r="I231" s="14"/>
      <c r="J231" s="15"/>
    </row>
    <row r="232" spans="2:10" x14ac:dyDescent="0.25">
      <c r="B232" s="16"/>
      <c r="C232" s="16"/>
      <c r="D232" s="16"/>
      <c r="E232" s="16"/>
      <c r="F232" s="16"/>
      <c r="G232" s="16"/>
      <c r="H232" s="16"/>
      <c r="I232" s="17"/>
      <c r="J232" s="10"/>
    </row>
    <row r="233" spans="2:10" ht="43.5" customHeight="1" x14ac:dyDescent="0.25">
      <c r="B233" s="134" t="s">
        <v>206</v>
      </c>
      <c r="C233" s="134"/>
      <c r="D233" s="134"/>
      <c r="E233" s="134"/>
      <c r="F233" s="134"/>
      <c r="G233" s="134"/>
      <c r="H233" s="134"/>
      <c r="I233" s="134"/>
      <c r="J233" s="134"/>
    </row>
    <row r="234" spans="2:10" ht="9.75" customHeight="1" x14ac:dyDescent="0.25">
      <c r="B234" s="135" t="s">
        <v>743</v>
      </c>
      <c r="C234" s="135"/>
      <c r="D234" s="135"/>
      <c r="E234" s="135"/>
      <c r="F234" s="135"/>
      <c r="G234" s="135"/>
      <c r="H234" s="135"/>
      <c r="I234" s="135"/>
      <c r="J234" s="135"/>
    </row>
    <row r="235" spans="2:10" x14ac:dyDescent="0.25">
      <c r="B235" s="135"/>
      <c r="C235" s="135"/>
      <c r="D235" s="135"/>
      <c r="E235" s="135"/>
      <c r="F235" s="135"/>
      <c r="G235" s="135"/>
      <c r="H235" s="135"/>
      <c r="I235" s="135"/>
      <c r="J235" s="135"/>
    </row>
    <row r="236" spans="2:10" x14ac:dyDescent="0.25">
      <c r="B236" s="135"/>
      <c r="C236" s="135"/>
      <c r="D236" s="135"/>
      <c r="E236" s="135"/>
      <c r="F236" s="135"/>
      <c r="G236" s="135"/>
      <c r="H236" s="135"/>
      <c r="I236" s="135"/>
      <c r="J236" s="135"/>
    </row>
    <row r="237" spans="2:10" x14ac:dyDescent="0.25">
      <c r="B237" s="135"/>
      <c r="C237" s="135"/>
      <c r="D237" s="135"/>
      <c r="E237" s="135"/>
      <c r="F237" s="135"/>
      <c r="G237" s="135"/>
      <c r="H237" s="135"/>
      <c r="I237" s="135"/>
      <c r="J237" s="135"/>
    </row>
    <row r="238" spans="2:10" x14ac:dyDescent="0.25">
      <c r="B238" s="135"/>
      <c r="C238" s="135"/>
      <c r="D238" s="135"/>
      <c r="E238" s="135"/>
      <c r="F238" s="135"/>
      <c r="G238" s="135"/>
      <c r="H238" s="135"/>
      <c r="I238" s="135"/>
      <c r="J238" s="135"/>
    </row>
    <row r="239" spans="2:10" x14ac:dyDescent="0.25">
      <c r="B239" s="135"/>
      <c r="C239" s="135"/>
      <c r="D239" s="135"/>
      <c r="E239" s="135"/>
      <c r="F239" s="135"/>
      <c r="G239" s="135"/>
      <c r="H239" s="135"/>
      <c r="I239" s="135"/>
      <c r="J239" s="135"/>
    </row>
    <row r="240" spans="2:10" x14ac:dyDescent="0.25">
      <c r="B240" s="135"/>
      <c r="C240" s="135"/>
      <c r="D240" s="135"/>
      <c r="E240" s="135"/>
      <c r="F240" s="135"/>
      <c r="G240" s="135"/>
      <c r="H240" s="135"/>
      <c r="I240" s="135"/>
      <c r="J240" s="135"/>
    </row>
    <row r="241" spans="2:11" x14ac:dyDescent="0.25">
      <c r="B241" s="135"/>
      <c r="C241" s="135"/>
      <c r="D241" s="135"/>
      <c r="E241" s="135"/>
      <c r="F241" s="135"/>
      <c r="G241" s="135"/>
      <c r="H241" s="135"/>
      <c r="I241" s="135"/>
      <c r="J241" s="135"/>
    </row>
    <row r="242" spans="2:11" ht="20.25" customHeight="1" x14ac:dyDescent="0.25">
      <c r="B242" s="135"/>
      <c r="C242" s="135"/>
      <c r="D242" s="135"/>
      <c r="E242" s="135"/>
      <c r="F242" s="135"/>
      <c r="G242" s="135"/>
      <c r="H242" s="135"/>
      <c r="I242" s="135"/>
      <c r="J242" s="135"/>
    </row>
    <row r="243" spans="2:11" ht="26.25" customHeight="1" x14ac:dyDescent="0.25">
      <c r="B243" s="135"/>
      <c r="C243" s="135"/>
      <c r="D243" s="135"/>
      <c r="E243" s="135"/>
      <c r="F243" s="135"/>
      <c r="G243" s="135"/>
      <c r="H243" s="135"/>
      <c r="I243" s="135"/>
      <c r="J243" s="135"/>
    </row>
    <row r="244" spans="2:11" ht="6" hidden="1" customHeight="1" x14ac:dyDescent="0.25">
      <c r="B244" s="135"/>
      <c r="C244" s="135"/>
      <c r="D244" s="135"/>
      <c r="E244" s="135"/>
      <c r="F244" s="135"/>
      <c r="G244" s="135"/>
      <c r="H244" s="135"/>
      <c r="I244" s="135"/>
      <c r="J244" s="135"/>
    </row>
    <row r="245" spans="2:11" x14ac:dyDescent="0.25">
      <c r="H245" s="63"/>
      <c r="I245" s="42"/>
      <c r="J245" s="42"/>
      <c r="K245" s="63"/>
    </row>
    <row r="246" spans="2:11" ht="51" customHeight="1" x14ac:dyDescent="0.25">
      <c r="B246" s="121" t="s">
        <v>207</v>
      </c>
      <c r="C246" s="121"/>
      <c r="D246" s="121"/>
      <c r="E246" s="121"/>
      <c r="F246" s="121"/>
      <c r="G246" s="121"/>
      <c r="H246" s="63"/>
      <c r="I246" s="189"/>
      <c r="J246" s="189"/>
      <c r="K246" s="63"/>
    </row>
    <row r="247" spans="2:11" x14ac:dyDescent="0.25">
      <c r="B247" s="52"/>
      <c r="C247" s="52"/>
      <c r="D247" s="52"/>
      <c r="E247" s="52"/>
      <c r="F247" s="52"/>
      <c r="G247" s="52"/>
      <c r="H247" s="63"/>
      <c r="I247" s="39"/>
      <c r="J247" s="39"/>
      <c r="K247" s="63"/>
    </row>
    <row r="248" spans="2:11" ht="15" customHeight="1" x14ac:dyDescent="0.25">
      <c r="B248" s="121" t="s">
        <v>208</v>
      </c>
      <c r="C248" s="121"/>
      <c r="D248" s="121"/>
      <c r="E248" s="121"/>
      <c r="F248" s="121"/>
      <c r="I248" s="39"/>
      <c r="J248" s="39"/>
    </row>
    <row r="249" spans="2:11" ht="15.75" thickBot="1" x14ac:dyDescent="0.3">
      <c r="I249" s="30"/>
      <c r="J249" s="30"/>
    </row>
    <row r="250" spans="2:11" ht="45.75" customHeight="1" thickBot="1" x14ac:dyDescent="0.3">
      <c r="C250" s="188" t="s">
        <v>209</v>
      </c>
      <c r="D250" s="185"/>
      <c r="E250" s="185"/>
      <c r="F250" s="185"/>
      <c r="G250" s="185"/>
      <c r="I250" s="127"/>
      <c r="J250" s="128"/>
    </row>
    <row r="251" spans="2:11" ht="15.75" thickBot="1" x14ac:dyDescent="0.3">
      <c r="I251" s="30"/>
      <c r="J251" s="30"/>
    </row>
    <row r="252" spans="2:11" ht="15.75" thickBot="1" x14ac:dyDescent="0.3">
      <c r="C252" s="126" t="s">
        <v>702</v>
      </c>
      <c r="D252" s="126"/>
      <c r="E252" s="126"/>
      <c r="F252" s="126"/>
      <c r="G252" s="126"/>
      <c r="I252" s="127"/>
      <c r="J252" s="128"/>
    </row>
    <row r="253" spans="2:11" x14ac:dyDescent="0.25">
      <c r="I253" s="30"/>
      <c r="J253" s="30"/>
    </row>
    <row r="254" spans="2:11" ht="32.25" customHeight="1" x14ac:dyDescent="0.25">
      <c r="B254" s="137" t="s">
        <v>693</v>
      </c>
      <c r="C254" s="126"/>
      <c r="D254" s="126"/>
      <c r="E254" s="126"/>
      <c r="F254" s="126"/>
      <c r="G254" s="126"/>
      <c r="I254" s="189"/>
      <c r="J254" s="189"/>
    </row>
    <row r="255" spans="2:11" x14ac:dyDescent="0.25">
      <c r="I255" s="30"/>
      <c r="J255" s="30"/>
    </row>
    <row r="256" spans="2:11" x14ac:dyDescent="0.25">
      <c r="B256" s="126" t="s">
        <v>11</v>
      </c>
      <c r="C256" s="126"/>
      <c r="D256" s="126"/>
      <c r="E256" s="126"/>
      <c r="F256" s="126"/>
      <c r="G256" s="126"/>
      <c r="I256" s="30"/>
      <c r="J256" s="30"/>
    </row>
    <row r="257" spans="2:10" ht="15.75" thickBot="1" x14ac:dyDescent="0.3">
      <c r="I257" s="30"/>
      <c r="J257" s="30"/>
    </row>
    <row r="258" spans="2:10" ht="31.5" customHeight="1" thickBot="1" x14ac:dyDescent="0.3">
      <c r="C258" s="133" t="s">
        <v>694</v>
      </c>
      <c r="D258" s="184"/>
      <c r="E258" s="184"/>
      <c r="F258" s="184"/>
      <c r="G258" s="184"/>
      <c r="I258" s="127"/>
      <c r="J258" s="128"/>
    </row>
    <row r="259" spans="2:10" ht="15.75" thickBot="1" x14ac:dyDescent="0.3">
      <c r="I259" s="30"/>
      <c r="J259" s="30"/>
    </row>
    <row r="260" spans="2:10" ht="15.75" thickBot="1" x14ac:dyDescent="0.3">
      <c r="C260" s="126" t="s">
        <v>703</v>
      </c>
      <c r="D260" s="185"/>
      <c r="E260" s="185"/>
      <c r="F260" s="185"/>
      <c r="G260" s="185"/>
      <c r="I260" s="127"/>
      <c r="J260" s="128"/>
    </row>
    <row r="261" spans="2:10" ht="15.75" thickBot="1" x14ac:dyDescent="0.3">
      <c r="I261" s="30"/>
      <c r="J261" s="30"/>
    </row>
    <row r="262" spans="2:10" ht="30.75" customHeight="1" thickBot="1" x14ac:dyDescent="0.3">
      <c r="D262" s="186" t="s">
        <v>695</v>
      </c>
      <c r="E262" s="187"/>
      <c r="F262" s="187"/>
      <c r="G262" s="187"/>
      <c r="H262" s="187"/>
      <c r="I262" s="129">
        <f>IFERROR(I258-I260, 0)</f>
        <v>0</v>
      </c>
      <c r="J262" s="130"/>
    </row>
    <row r="265" spans="2:10" ht="144" customHeight="1" x14ac:dyDescent="0.25">
      <c r="B265" s="188" t="s">
        <v>696</v>
      </c>
      <c r="C265" s="185"/>
      <c r="D265" s="185"/>
      <c r="E265" s="185"/>
      <c r="F265" s="185"/>
      <c r="G265" s="185"/>
      <c r="H265" s="185"/>
      <c r="I265" s="185"/>
      <c r="J265" s="185"/>
    </row>
    <row r="266" spans="2:10" ht="15.75" thickBot="1" x14ac:dyDescent="0.3"/>
    <row r="267" spans="2:10" ht="15.75" thickBot="1" x14ac:dyDescent="0.3">
      <c r="B267" s="141" t="s">
        <v>697</v>
      </c>
      <c r="C267" s="141"/>
      <c r="D267" s="141"/>
      <c r="E267" s="141"/>
      <c r="F267" s="141"/>
      <c r="G267" s="141"/>
      <c r="H267" s="141"/>
      <c r="I267" s="192" t="s">
        <v>85</v>
      </c>
      <c r="J267" s="193"/>
    </row>
    <row r="269" spans="2:10" ht="36.75" customHeight="1" x14ac:dyDescent="0.25">
      <c r="B269" s="133" t="s">
        <v>210</v>
      </c>
      <c r="C269" s="133"/>
      <c r="D269" s="133"/>
      <c r="E269" s="133"/>
      <c r="F269" s="133"/>
      <c r="G269" s="133"/>
      <c r="H269" s="133"/>
      <c r="I269" s="29"/>
      <c r="J269" s="29"/>
    </row>
    <row r="270" spans="2:10" ht="15.75" thickBot="1" x14ac:dyDescent="0.3"/>
    <row r="271" spans="2:10" ht="60.75" customHeight="1" thickBot="1" x14ac:dyDescent="0.3">
      <c r="B271" s="31"/>
      <c r="C271" s="133" t="s">
        <v>211</v>
      </c>
      <c r="D271" s="133"/>
      <c r="E271" s="133"/>
      <c r="F271" s="133"/>
      <c r="G271" s="133"/>
      <c r="I271" s="127"/>
      <c r="J271" s="128"/>
    </row>
    <row r="272" spans="2:10" ht="15.75" thickBot="1" x14ac:dyDescent="0.3"/>
    <row r="273" spans="2:10" ht="47.25" customHeight="1" thickBot="1" x14ac:dyDescent="0.3">
      <c r="B273" s="32"/>
      <c r="C273" s="133" t="s">
        <v>212</v>
      </c>
      <c r="D273" s="133"/>
      <c r="E273" s="133"/>
      <c r="F273" s="133"/>
      <c r="G273" s="133"/>
      <c r="I273" s="127"/>
      <c r="J273" s="128"/>
    </row>
    <row r="274" spans="2:10" ht="15.75" thickBot="1" x14ac:dyDescent="0.3"/>
    <row r="275" spans="2:10" ht="15.75" thickBot="1" x14ac:dyDescent="0.3">
      <c r="C275" s="141" t="s">
        <v>213</v>
      </c>
      <c r="D275" s="184"/>
      <c r="E275" s="184"/>
      <c r="F275" s="184"/>
      <c r="G275" s="184"/>
      <c r="I275" s="127"/>
      <c r="J275" s="128"/>
    </row>
    <row r="277" spans="2:10" ht="30.75" customHeight="1" x14ac:dyDescent="0.25">
      <c r="B277" s="121" t="s">
        <v>698</v>
      </c>
      <c r="C277" s="121"/>
      <c r="D277" s="121"/>
      <c r="E277" s="121"/>
      <c r="F277" s="121"/>
      <c r="G277" s="121"/>
      <c r="I277" s="194"/>
      <c r="J277" s="194"/>
    </row>
    <row r="279" spans="2:10" x14ac:dyDescent="0.25">
      <c r="B279" s="141" t="s">
        <v>11</v>
      </c>
      <c r="C279" s="141"/>
      <c r="D279" s="141"/>
      <c r="E279" s="141"/>
      <c r="F279" s="141"/>
      <c r="I279" s="29"/>
      <c r="J279" s="29"/>
    </row>
    <row r="280" spans="2:10" ht="15.75" thickBot="1" x14ac:dyDescent="0.3"/>
    <row r="281" spans="2:10" ht="33" customHeight="1" thickBot="1" x14ac:dyDescent="0.3">
      <c r="C281" s="133" t="s">
        <v>214</v>
      </c>
      <c r="D281" s="133"/>
      <c r="E281" s="133"/>
      <c r="F281" s="133"/>
      <c r="G281" s="133"/>
      <c r="I281" s="127"/>
      <c r="J281" s="128"/>
    </row>
    <row r="282" spans="2:10" ht="15.75" thickBot="1" x14ac:dyDescent="0.3"/>
    <row r="283" spans="2:10" ht="15.75" thickBot="1" x14ac:dyDescent="0.3">
      <c r="C283" s="126" t="s">
        <v>699</v>
      </c>
      <c r="D283" s="126"/>
      <c r="E283" s="126"/>
      <c r="F283" s="126"/>
      <c r="G283" s="126"/>
      <c r="I283" s="127"/>
      <c r="J283" s="128"/>
    </row>
    <row r="284" spans="2:10" ht="15.75" thickBot="1" x14ac:dyDescent="0.3"/>
    <row r="285" spans="2:10" ht="30.75" customHeight="1" thickBot="1" x14ac:dyDescent="0.3">
      <c r="D285" s="200" t="s">
        <v>752</v>
      </c>
      <c r="E285" s="200"/>
      <c r="F285" s="200"/>
      <c r="G285" s="200"/>
      <c r="H285" s="200"/>
      <c r="I285" s="244">
        <f>IFERROR(I281-I283, 0)</f>
        <v>0</v>
      </c>
      <c r="J285" s="245"/>
    </row>
    <row r="287" spans="2:10" ht="99.75" customHeight="1" x14ac:dyDescent="0.25">
      <c r="B287" s="133" t="s">
        <v>753</v>
      </c>
      <c r="C287" s="184"/>
      <c r="D287" s="184"/>
      <c r="E287" s="184"/>
      <c r="F287" s="184"/>
      <c r="G287" s="184"/>
      <c r="H287" s="184"/>
      <c r="I287" s="184"/>
      <c r="J287" s="184"/>
    </row>
    <row r="289" spans="2:10" x14ac:dyDescent="0.25">
      <c r="B289" s="198" t="s">
        <v>215</v>
      </c>
      <c r="C289" s="199"/>
      <c r="D289" s="199"/>
      <c r="E289" s="199"/>
      <c r="F289" s="199"/>
      <c r="G289" s="199"/>
      <c r="H289" s="199"/>
      <c r="I289" s="199"/>
      <c r="J289" s="199"/>
    </row>
    <row r="290" spans="2:10" ht="15.75" thickBot="1" x14ac:dyDescent="0.3"/>
    <row r="291" spans="2:10" ht="15.75" thickBot="1" x14ac:dyDescent="0.3">
      <c r="C291" s="141" t="s">
        <v>700</v>
      </c>
      <c r="D291" s="141"/>
      <c r="E291" s="141"/>
      <c r="F291" s="141"/>
      <c r="G291" s="141"/>
      <c r="I291" s="196" t="s">
        <v>92</v>
      </c>
      <c r="J291" s="197"/>
    </row>
    <row r="292" spans="2:10" ht="15.75" thickBot="1" x14ac:dyDescent="0.3"/>
    <row r="293" spans="2:10" ht="15.75" thickBot="1" x14ac:dyDescent="0.3">
      <c r="C293" s="126" t="s">
        <v>701</v>
      </c>
      <c r="D293" s="126"/>
      <c r="E293" s="126"/>
      <c r="F293" s="126"/>
      <c r="G293" s="126"/>
      <c r="I293" s="196" t="s">
        <v>93</v>
      </c>
      <c r="J293" s="197"/>
    </row>
    <row r="294" spans="2:10" ht="15.75" thickBot="1" x14ac:dyDescent="0.3"/>
    <row r="295" spans="2:10" ht="15.75" thickBot="1" x14ac:dyDescent="0.3">
      <c r="C295" s="126" t="s">
        <v>704</v>
      </c>
      <c r="D295" s="126"/>
      <c r="E295" s="126"/>
      <c r="F295" s="126"/>
      <c r="G295" s="126"/>
      <c r="I295" s="196" t="s">
        <v>94</v>
      </c>
      <c r="J295" s="197"/>
    </row>
    <row r="296" spans="2:10" ht="15.75" thickBot="1" x14ac:dyDescent="0.3">
      <c r="H296" s="28"/>
      <c r="I296" s="29"/>
      <c r="J296" s="29"/>
    </row>
    <row r="297" spans="2:10" ht="34.5" customHeight="1" thickBot="1" x14ac:dyDescent="0.3">
      <c r="C297" s="121" t="s">
        <v>216</v>
      </c>
      <c r="D297" s="121"/>
      <c r="E297" s="121"/>
      <c r="F297" s="121"/>
      <c r="H297" s="127"/>
      <c r="I297" s="195"/>
      <c r="J297" s="128"/>
    </row>
    <row r="299" spans="2:10" ht="53.25" customHeight="1" x14ac:dyDescent="0.25">
      <c r="B299" s="133" t="s">
        <v>217</v>
      </c>
      <c r="C299" s="133"/>
      <c r="D299" s="133"/>
      <c r="E299" s="133"/>
      <c r="F299" s="133"/>
      <c r="G299" s="133"/>
      <c r="H299" s="133"/>
      <c r="I299" s="133"/>
    </row>
    <row r="300" spans="2:10" ht="15.75" thickBot="1" x14ac:dyDescent="0.3"/>
    <row r="301" spans="2:10" ht="55.5" customHeight="1" thickBot="1" x14ac:dyDescent="0.3">
      <c r="C301" s="133" t="s">
        <v>218</v>
      </c>
      <c r="D301" s="133"/>
      <c r="E301" s="133"/>
      <c r="F301" s="133"/>
      <c r="G301" s="133"/>
      <c r="H301" s="133"/>
      <c r="J301" s="119"/>
    </row>
    <row r="302" spans="2:10" ht="15.75" thickBot="1" x14ac:dyDescent="0.3"/>
    <row r="303" spans="2:10" ht="33.75" customHeight="1" thickBot="1" x14ac:dyDescent="0.3">
      <c r="C303" s="121" t="s">
        <v>219</v>
      </c>
      <c r="D303" s="121"/>
      <c r="E303" s="121"/>
      <c r="F303" s="121"/>
      <c r="G303" s="121"/>
      <c r="H303" s="121"/>
      <c r="J303" s="119"/>
    </row>
    <row r="304" spans="2:10" ht="15.75" thickBot="1" x14ac:dyDescent="0.3"/>
    <row r="305" spans="1:39" ht="15.75" thickBot="1" x14ac:dyDescent="0.3">
      <c r="C305" s="126" t="s">
        <v>705</v>
      </c>
      <c r="D305" s="126"/>
      <c r="E305" s="126"/>
      <c r="F305" s="126"/>
      <c r="G305" s="126"/>
      <c r="H305" s="126"/>
      <c r="J305" s="119"/>
    </row>
    <row r="306" spans="1:39" ht="15.75" thickBot="1" x14ac:dyDescent="0.3"/>
    <row r="307" spans="1:39" s="4" customFormat="1" ht="39" customHeight="1" thickBot="1" x14ac:dyDescent="0.3">
      <c r="A307" s="40"/>
      <c r="B307" s="24"/>
      <c r="C307" s="24"/>
      <c r="D307" s="213" t="s">
        <v>741</v>
      </c>
      <c r="E307" s="213"/>
      <c r="F307" s="213"/>
      <c r="G307" s="213"/>
      <c r="H307" s="213"/>
      <c r="I307" s="213"/>
      <c r="J307" s="246">
        <f>IFERROR(J301-J303, 0)</f>
        <v>0</v>
      </c>
      <c r="K307" s="40"/>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15"/>
      <c r="AJ307" s="115"/>
      <c r="AK307" s="115"/>
      <c r="AL307" s="115"/>
      <c r="AM307" s="115"/>
    </row>
    <row r="309" spans="1:39" ht="30" customHeight="1" x14ac:dyDescent="0.25">
      <c r="B309" s="137" t="s">
        <v>220</v>
      </c>
      <c r="C309" s="126"/>
      <c r="D309" s="126"/>
      <c r="E309" s="126"/>
      <c r="F309" s="126"/>
      <c r="G309" s="126"/>
      <c r="I309" s="189" t="s">
        <v>99</v>
      </c>
      <c r="J309" s="189"/>
    </row>
    <row r="311" spans="1:39" x14ac:dyDescent="0.25">
      <c r="B311" s="126" t="s">
        <v>12</v>
      </c>
      <c r="C311" s="126"/>
      <c r="D311" s="126"/>
      <c r="E311" s="126"/>
      <c r="F311" s="126"/>
      <c r="G311" s="126"/>
    </row>
    <row r="312" spans="1:39" ht="15.75" thickBot="1" x14ac:dyDescent="0.3"/>
    <row r="313" spans="1:39" ht="37.5" customHeight="1" thickBot="1" x14ac:dyDescent="0.3">
      <c r="C313" s="133" t="s">
        <v>706</v>
      </c>
      <c r="D313" s="184"/>
      <c r="E313" s="184"/>
      <c r="F313" s="184"/>
      <c r="G313" s="184"/>
      <c r="I313" s="127"/>
      <c r="J313" s="128"/>
    </row>
    <row r="314" spans="1:39" ht="15.75" thickBot="1" x14ac:dyDescent="0.3"/>
    <row r="315" spans="1:39" ht="15.75" thickBot="1" x14ac:dyDescent="0.3">
      <c r="C315" s="126" t="s">
        <v>754</v>
      </c>
      <c r="D315" s="126"/>
      <c r="E315" s="126"/>
      <c r="F315" s="126"/>
      <c r="G315" s="126"/>
      <c r="I315" s="127"/>
      <c r="J315" s="128"/>
    </row>
    <row r="316" spans="1:39" ht="15.75" thickBot="1" x14ac:dyDescent="0.3"/>
    <row r="317" spans="1:39" ht="26.25" customHeight="1" thickBot="1" x14ac:dyDescent="0.3">
      <c r="C317" s="200" t="s">
        <v>707</v>
      </c>
      <c r="D317" s="200"/>
      <c r="E317" s="200"/>
      <c r="F317" s="200"/>
      <c r="G317" s="200"/>
      <c r="H317" s="201"/>
      <c r="I317" s="244">
        <f>IFERROR(I313-I315, 0)</f>
        <v>0</v>
      </c>
      <c r="J317" s="245"/>
    </row>
    <row r="319" spans="1:39" ht="55.5" customHeight="1" x14ac:dyDescent="0.25">
      <c r="B319" s="133" t="s">
        <v>221</v>
      </c>
      <c r="C319" s="133"/>
      <c r="D319" s="133"/>
      <c r="E319" s="133"/>
      <c r="F319" s="133"/>
      <c r="G319" s="133"/>
      <c r="H319" s="133"/>
      <c r="I319" s="133"/>
    </row>
    <row r="320" spans="1:39" ht="15.75" thickBot="1" x14ac:dyDescent="0.3"/>
    <row r="321" spans="2:10" ht="33.75" customHeight="1" thickBot="1" x14ac:dyDescent="0.3">
      <c r="B321" s="121" t="s">
        <v>222</v>
      </c>
      <c r="C321" s="141"/>
      <c r="D321" s="141"/>
      <c r="E321" s="141"/>
      <c r="F321" s="141"/>
      <c r="G321" s="141"/>
      <c r="I321" s="127"/>
      <c r="J321" s="128"/>
    </row>
    <row r="322" spans="2:10" ht="15.75" thickBot="1" x14ac:dyDescent="0.3"/>
    <row r="323" spans="2:10" ht="35.25" customHeight="1" thickBot="1" x14ac:dyDescent="0.3">
      <c r="B323" s="121" t="s">
        <v>223</v>
      </c>
      <c r="C323" s="141"/>
      <c r="D323" s="141"/>
      <c r="E323" s="141"/>
      <c r="F323" s="141"/>
      <c r="G323" s="141"/>
      <c r="I323" s="127"/>
      <c r="J323" s="128"/>
    </row>
    <row r="324" spans="2:10" ht="15.75" thickBot="1" x14ac:dyDescent="0.3"/>
    <row r="325" spans="2:10" ht="33" customHeight="1" thickBot="1" x14ac:dyDescent="0.3">
      <c r="B325" s="121" t="s">
        <v>224</v>
      </c>
      <c r="C325" s="141"/>
      <c r="D325" s="141"/>
      <c r="E325" s="141"/>
      <c r="F325" s="141"/>
      <c r="G325" s="141"/>
      <c r="I325" s="127"/>
      <c r="J325" s="128"/>
    </row>
    <row r="326" spans="2:10" ht="15.75" thickBot="1" x14ac:dyDescent="0.3"/>
    <row r="327" spans="2:10" ht="33.75" customHeight="1" thickBot="1" x14ac:dyDescent="0.3">
      <c r="B327" s="137" t="s">
        <v>225</v>
      </c>
      <c r="C327" s="126"/>
      <c r="D327" s="126"/>
      <c r="E327" s="126"/>
      <c r="F327" s="126"/>
      <c r="G327" s="126"/>
      <c r="I327" s="127"/>
      <c r="J327" s="128"/>
    </row>
    <row r="328" spans="2:10" ht="15.75" thickBot="1" x14ac:dyDescent="0.3"/>
    <row r="329" spans="2:10" ht="33" customHeight="1" thickBot="1" x14ac:dyDescent="0.3">
      <c r="B329" s="137" t="s">
        <v>226</v>
      </c>
      <c r="C329" s="126"/>
      <c r="D329" s="126"/>
      <c r="E329" s="126"/>
      <c r="F329" s="126"/>
      <c r="G329" s="126"/>
      <c r="I329" s="127"/>
      <c r="J329" s="128"/>
    </row>
    <row r="331" spans="2:10" ht="48" customHeight="1" x14ac:dyDescent="0.25">
      <c r="B331" s="133" t="s">
        <v>231</v>
      </c>
      <c r="C331" s="133"/>
      <c r="D331" s="133"/>
      <c r="E331" s="133"/>
      <c r="F331" s="133"/>
      <c r="G331" s="133"/>
      <c r="H331" s="133"/>
    </row>
    <row r="332" spans="2:10" ht="15.75" thickBot="1" x14ac:dyDescent="0.3"/>
    <row r="333" spans="2:10" ht="15.75" thickBot="1" x14ac:dyDescent="0.3">
      <c r="B333" s="126" t="s">
        <v>708</v>
      </c>
      <c r="C333" s="126"/>
      <c r="D333" s="126"/>
      <c r="E333" s="126"/>
      <c r="F333" s="126"/>
      <c r="G333" s="126"/>
      <c r="I333" s="127"/>
      <c r="J333" s="128"/>
    </row>
    <row r="335" spans="2:10" x14ac:dyDescent="0.25">
      <c r="C335" s="126" t="s">
        <v>227</v>
      </c>
      <c r="D335" s="126"/>
      <c r="E335" s="126"/>
      <c r="F335" s="126"/>
      <c r="G335" s="126"/>
      <c r="H335" s="126"/>
    </row>
    <row r="336" spans="2:10" ht="15.75" thickBot="1" x14ac:dyDescent="0.3"/>
    <row r="337" spans="2:10" ht="15.75" thickBot="1" x14ac:dyDescent="0.3">
      <c r="C337" s="137" t="s">
        <v>709</v>
      </c>
      <c r="D337" s="188"/>
      <c r="E337" s="188"/>
      <c r="F337" s="188"/>
      <c r="G337" s="188"/>
      <c r="I337" s="127"/>
      <c r="J337" s="128"/>
    </row>
    <row r="338" spans="2:10" ht="15.75" thickBot="1" x14ac:dyDescent="0.3"/>
    <row r="339" spans="2:10" ht="15.75" thickBot="1" x14ac:dyDescent="0.3">
      <c r="C339" s="137" t="s">
        <v>710</v>
      </c>
      <c r="D339" s="188"/>
      <c r="E339" s="188"/>
      <c r="F339" s="188"/>
      <c r="G339" s="188"/>
      <c r="I339" s="127"/>
      <c r="J339" s="128"/>
    </row>
    <row r="340" spans="2:10" ht="15.75" thickBot="1" x14ac:dyDescent="0.3">
      <c r="C340" s="53"/>
      <c r="D340" s="54"/>
      <c r="E340" s="54"/>
      <c r="F340" s="54"/>
      <c r="G340" s="54"/>
      <c r="I340" s="39"/>
      <c r="J340" s="39"/>
    </row>
    <row r="341" spans="2:10" ht="15.75" thickBot="1" x14ac:dyDescent="0.3">
      <c r="C341" s="121" t="s">
        <v>229</v>
      </c>
      <c r="D341" s="121"/>
      <c r="E341" s="121"/>
      <c r="F341" s="121"/>
      <c r="G341" s="121"/>
      <c r="I341" s="127"/>
      <c r="J341" s="128"/>
    </row>
    <row r="342" spans="2:10" ht="15.75" thickBot="1" x14ac:dyDescent="0.3"/>
    <row r="343" spans="2:10" ht="15.75" thickBot="1" x14ac:dyDescent="0.3">
      <c r="B343" s="141" t="s">
        <v>228</v>
      </c>
      <c r="C343" s="141"/>
      <c r="D343" s="141"/>
      <c r="E343" s="141"/>
      <c r="F343" s="50"/>
      <c r="H343" s="127"/>
      <c r="I343" s="195"/>
      <c r="J343" s="128"/>
    </row>
    <row r="344" spans="2:10" x14ac:dyDescent="0.25">
      <c r="B344" s="45"/>
      <c r="C344" s="45"/>
      <c r="D344" s="45"/>
      <c r="E344" s="45"/>
      <c r="F344" s="45"/>
      <c r="G344" s="46"/>
      <c r="H344" s="35"/>
      <c r="I344" s="35"/>
      <c r="J344" s="35"/>
    </row>
    <row r="345" spans="2:10" ht="36.75" customHeight="1" x14ac:dyDescent="0.25">
      <c r="B345" s="214" t="s">
        <v>230</v>
      </c>
      <c r="C345" s="214"/>
      <c r="D345" s="214"/>
      <c r="E345" s="214"/>
      <c r="F345" s="214"/>
      <c r="G345" s="214"/>
      <c r="H345" s="214"/>
      <c r="I345" s="35"/>
      <c r="J345" s="35"/>
    </row>
    <row r="347" spans="2:10" ht="30" x14ac:dyDescent="0.25">
      <c r="F347" s="33" t="s">
        <v>15</v>
      </c>
      <c r="G347" s="60"/>
      <c r="H347" s="59" t="s">
        <v>14</v>
      </c>
      <c r="I347" s="34"/>
      <c r="J347" s="34" t="s">
        <v>13</v>
      </c>
    </row>
    <row r="348" spans="2:10" ht="15.75" thickBot="1" x14ac:dyDescent="0.3"/>
    <row r="349" spans="2:10" ht="56.25" customHeight="1" thickBot="1" x14ac:dyDescent="0.3">
      <c r="C349" s="121" t="s">
        <v>711</v>
      </c>
      <c r="D349" s="121"/>
      <c r="F349" s="119"/>
      <c r="G349" s="30"/>
      <c r="H349" s="119"/>
      <c r="I349" s="34"/>
      <c r="J349" s="84">
        <f>SUM(F349,H349)</f>
        <v>0</v>
      </c>
    </row>
    <row r="350" spans="2:10" ht="15.75" thickBot="1" x14ac:dyDescent="0.3">
      <c r="C350" s="25"/>
      <c r="D350" s="25"/>
      <c r="F350" s="30"/>
      <c r="G350" s="30"/>
      <c r="H350" s="30"/>
      <c r="I350" s="34"/>
      <c r="J350" s="34"/>
    </row>
    <row r="351" spans="2:10" ht="55.5" customHeight="1" thickBot="1" x14ac:dyDescent="0.3">
      <c r="C351" s="121" t="s">
        <v>712</v>
      </c>
      <c r="D351" s="121"/>
      <c r="F351" s="119"/>
      <c r="G351" s="30"/>
      <c r="H351" s="119"/>
      <c r="I351" s="34"/>
      <c r="J351" s="84">
        <f>SUM(F351,H351)</f>
        <v>0</v>
      </c>
    </row>
    <row r="352" spans="2:10" ht="15.75" thickBot="1" x14ac:dyDescent="0.3">
      <c r="C352" s="25"/>
      <c r="D352" s="25"/>
      <c r="F352" s="39"/>
      <c r="G352" s="81"/>
      <c r="H352" s="39"/>
      <c r="I352" s="62"/>
      <c r="J352" s="61"/>
    </row>
    <row r="353" spans="1:10" ht="30" customHeight="1" thickBot="1" x14ac:dyDescent="0.3">
      <c r="C353" s="121" t="s">
        <v>263</v>
      </c>
      <c r="D353" s="121"/>
      <c r="F353" s="119"/>
      <c r="G353" s="81"/>
      <c r="H353" s="119"/>
      <c r="I353" s="62"/>
      <c r="J353" s="84">
        <f>SUM(F353,H353)</f>
        <v>0</v>
      </c>
    </row>
    <row r="354" spans="1:10" ht="15.75" thickBot="1" x14ac:dyDescent="0.3">
      <c r="C354" s="25"/>
      <c r="D354" s="25"/>
      <c r="F354" s="39"/>
      <c r="G354" s="81"/>
      <c r="H354" s="39"/>
      <c r="I354" s="62"/>
      <c r="J354" s="61"/>
    </row>
    <row r="355" spans="1:10" ht="15.75" thickBot="1" x14ac:dyDescent="0.3">
      <c r="C355" s="126" t="s">
        <v>264</v>
      </c>
      <c r="D355" s="126"/>
      <c r="F355" s="119"/>
      <c r="G355" s="81"/>
      <c r="H355" s="119"/>
      <c r="I355" s="62"/>
      <c r="J355" s="84">
        <f>SUM(F355,H355)</f>
        <v>0</v>
      </c>
    </row>
    <row r="356" spans="1:10" ht="15.75" thickBot="1" x14ac:dyDescent="0.3">
      <c r="C356" s="25"/>
      <c r="D356" s="25"/>
      <c r="F356" s="39"/>
      <c r="G356" s="81"/>
      <c r="H356" s="39"/>
      <c r="I356" s="62"/>
      <c r="J356" s="61"/>
    </row>
    <row r="357" spans="1:10" ht="71.25" customHeight="1" thickBot="1" x14ac:dyDescent="0.3">
      <c r="C357" s="121" t="s">
        <v>265</v>
      </c>
      <c r="D357" s="121"/>
      <c r="F357" s="119"/>
      <c r="G357" s="81"/>
      <c r="H357" s="119"/>
      <c r="I357" s="62"/>
      <c r="J357" s="84">
        <f>SUM(F357,H357)</f>
        <v>0</v>
      </c>
    </row>
    <row r="358" spans="1:10" ht="15.75" thickBot="1" x14ac:dyDescent="0.3">
      <c r="C358" s="25"/>
      <c r="D358" s="25"/>
      <c r="F358" s="30"/>
      <c r="G358" s="30"/>
      <c r="H358" s="30"/>
      <c r="I358" s="34"/>
      <c r="J358" s="34"/>
    </row>
    <row r="359" spans="1:10" ht="89.25" customHeight="1" thickBot="1" x14ac:dyDescent="0.3">
      <c r="C359" s="121" t="s">
        <v>266</v>
      </c>
      <c r="D359" s="121"/>
      <c r="F359" s="119"/>
      <c r="G359" s="30"/>
      <c r="H359" s="119"/>
      <c r="I359" s="34"/>
      <c r="J359" s="84">
        <f>SUM(F359,H359)</f>
        <v>0</v>
      </c>
    </row>
    <row r="360" spans="1:10" ht="15.75" thickBot="1" x14ac:dyDescent="0.3">
      <c r="C360" s="25"/>
      <c r="D360" s="25"/>
      <c r="F360" s="30"/>
      <c r="G360" s="30"/>
      <c r="H360" s="30"/>
      <c r="I360" s="34"/>
      <c r="J360" s="34"/>
    </row>
    <row r="361" spans="1:10" ht="45" customHeight="1" thickBot="1" x14ac:dyDescent="0.3">
      <c r="C361" s="121" t="s">
        <v>267</v>
      </c>
      <c r="D361" s="121"/>
      <c r="F361" s="119"/>
      <c r="G361" s="30"/>
      <c r="H361" s="119"/>
      <c r="I361" s="34"/>
      <c r="J361" s="84">
        <f>SUM(F361,H361)</f>
        <v>0</v>
      </c>
    </row>
    <row r="362" spans="1:10" ht="15.75" thickBot="1" x14ac:dyDescent="0.3">
      <c r="C362" s="25"/>
      <c r="D362" s="25"/>
      <c r="F362" s="30"/>
      <c r="G362" s="30"/>
      <c r="H362" s="30"/>
      <c r="I362" s="30"/>
      <c r="J362" s="30"/>
    </row>
    <row r="363" spans="1:10" ht="15.75" thickBot="1" x14ac:dyDescent="0.3">
      <c r="A363" s="116"/>
      <c r="B363" s="25"/>
      <c r="C363" s="25"/>
      <c r="D363" s="25"/>
      <c r="E363" s="25" t="s">
        <v>187</v>
      </c>
      <c r="F363" s="84">
        <f>SUM(F349,F351,F353,F355,F357,F359,F361)</f>
        <v>0</v>
      </c>
      <c r="G363" s="30"/>
      <c r="H363" s="84">
        <f>SUM(F349,H351,H353,H355,H357,H359,H361)</f>
        <v>0</v>
      </c>
      <c r="I363" s="30"/>
      <c r="J363" s="84">
        <f>SUM(F363,H363)</f>
        <v>0</v>
      </c>
    </row>
    <row r="365" spans="1:10" ht="15.75" thickBot="1" x14ac:dyDescent="0.3">
      <c r="C365" s="8"/>
      <c r="D365" s="8"/>
      <c r="E365" s="8"/>
      <c r="F365" s="8"/>
      <c r="G365" s="8"/>
      <c r="H365" s="8"/>
      <c r="I365" s="11"/>
      <c r="J365" s="11"/>
    </row>
    <row r="366" spans="1:10" ht="15.75" thickBot="1" x14ac:dyDescent="0.3">
      <c r="B366" s="12"/>
      <c r="C366" s="13"/>
      <c r="D366" s="13"/>
      <c r="E366" s="13"/>
      <c r="F366" s="13"/>
      <c r="G366" s="13"/>
      <c r="H366" s="13"/>
      <c r="I366" s="14"/>
      <c r="J366" s="15"/>
    </row>
    <row r="367" spans="1:10" x14ac:dyDescent="0.25">
      <c r="B367" s="16"/>
      <c r="C367" s="16"/>
      <c r="D367" s="16"/>
      <c r="E367" s="16"/>
      <c r="F367" s="16"/>
      <c r="G367" s="16"/>
      <c r="H367" s="16"/>
      <c r="I367" s="17"/>
      <c r="J367" s="10"/>
    </row>
    <row r="368" spans="1:10" ht="39" customHeight="1" x14ac:dyDescent="0.25">
      <c r="B368" s="134" t="s">
        <v>717</v>
      </c>
      <c r="C368" s="134"/>
      <c r="D368" s="134"/>
      <c r="E368" s="134"/>
      <c r="F368" s="134"/>
      <c r="G368" s="134"/>
      <c r="H368" s="134"/>
      <c r="I368" s="134"/>
      <c r="J368" s="134"/>
    </row>
    <row r="369" spans="2:10" ht="15.75" thickBot="1" x14ac:dyDescent="0.3">
      <c r="B369" s="25"/>
      <c r="C369" s="25"/>
      <c r="D369" s="25"/>
      <c r="E369" s="25"/>
      <c r="F369" s="25"/>
      <c r="G369" s="25"/>
      <c r="H369" s="25"/>
    </row>
    <row r="370" spans="2:10" ht="15.75" thickBot="1" x14ac:dyDescent="0.3">
      <c r="B370" s="25"/>
      <c r="C370" s="126" t="s">
        <v>713</v>
      </c>
      <c r="D370" s="126"/>
      <c r="E370" s="126"/>
      <c r="F370" s="126"/>
      <c r="G370" s="126"/>
      <c r="H370" s="126"/>
      <c r="I370" s="127"/>
      <c r="J370" s="128"/>
    </row>
    <row r="371" spans="2:10" ht="15.75" thickBot="1" x14ac:dyDescent="0.3">
      <c r="B371" s="25"/>
      <c r="C371" s="25"/>
      <c r="D371" s="25"/>
      <c r="E371" s="25"/>
      <c r="F371" s="25"/>
      <c r="G371" s="25"/>
      <c r="H371" s="25"/>
    </row>
    <row r="372" spans="2:10" ht="15.75" thickBot="1" x14ac:dyDescent="0.3">
      <c r="B372" s="25"/>
      <c r="C372" s="126" t="s">
        <v>714</v>
      </c>
      <c r="D372" s="126"/>
      <c r="E372" s="126"/>
      <c r="F372" s="126"/>
      <c r="G372" s="126"/>
      <c r="H372" s="126"/>
      <c r="I372" s="127"/>
      <c r="J372" s="128"/>
    </row>
    <row r="373" spans="2:10" ht="15.75" thickBot="1" x14ac:dyDescent="0.3">
      <c r="B373" s="25"/>
      <c r="C373" s="25"/>
      <c r="D373" s="25"/>
      <c r="E373" s="25"/>
      <c r="F373" s="25"/>
      <c r="G373" s="25"/>
      <c r="H373" s="25"/>
    </row>
    <row r="374" spans="2:10" ht="15.75" thickBot="1" x14ac:dyDescent="0.3">
      <c r="B374" s="25"/>
      <c r="C374" s="126" t="s">
        <v>715</v>
      </c>
      <c r="D374" s="126"/>
      <c r="E374" s="126"/>
      <c r="F374" s="126"/>
      <c r="G374" s="126"/>
      <c r="H374" s="126"/>
      <c r="I374" s="127"/>
      <c r="J374" s="128"/>
    </row>
    <row r="375" spans="2:10" ht="15.75" thickBot="1" x14ac:dyDescent="0.3">
      <c r="B375" s="25"/>
      <c r="C375" s="25"/>
      <c r="D375" s="25"/>
      <c r="E375" s="25"/>
      <c r="F375" s="25"/>
      <c r="G375" s="25"/>
      <c r="H375" s="25"/>
    </row>
    <row r="376" spans="2:10" ht="48" customHeight="1" thickBot="1" x14ac:dyDescent="0.3">
      <c r="B376" s="25"/>
      <c r="C376" s="120"/>
      <c r="D376" s="121" t="s">
        <v>716</v>
      </c>
      <c r="E376" s="121"/>
      <c r="F376" s="121"/>
      <c r="G376" s="121"/>
      <c r="H376" s="120"/>
      <c r="I376" s="127"/>
      <c r="J376" s="128"/>
    </row>
    <row r="377" spans="2:10" ht="15.75" thickBot="1" x14ac:dyDescent="0.3">
      <c r="C377" s="8"/>
      <c r="D377" s="8"/>
      <c r="E377" s="8"/>
      <c r="F377" s="8"/>
      <c r="G377" s="8"/>
      <c r="H377" s="8"/>
      <c r="I377" s="11"/>
      <c r="J377" s="11"/>
    </row>
    <row r="378" spans="2:10" ht="15.75" thickBot="1" x14ac:dyDescent="0.3">
      <c r="B378" s="12"/>
      <c r="C378" s="13"/>
      <c r="D378" s="13"/>
      <c r="E378" s="13"/>
      <c r="F378" s="13"/>
      <c r="G378" s="13"/>
      <c r="H378" s="13"/>
      <c r="I378" s="14"/>
      <c r="J378" s="15"/>
    </row>
    <row r="379" spans="2:10" x14ac:dyDescent="0.25">
      <c r="B379" s="16"/>
      <c r="C379" s="16"/>
      <c r="D379" s="16"/>
      <c r="E379" s="16"/>
      <c r="F379" s="16"/>
      <c r="G379" s="16"/>
      <c r="H379" s="16"/>
      <c r="I379" s="17"/>
      <c r="J379" s="10"/>
    </row>
    <row r="380" spans="2:10" ht="44.25" customHeight="1" x14ac:dyDescent="0.25">
      <c r="B380" s="134" t="s">
        <v>718</v>
      </c>
      <c r="C380" s="134"/>
      <c r="D380" s="134"/>
      <c r="E380" s="134"/>
      <c r="F380" s="134"/>
      <c r="G380" s="134"/>
      <c r="H380" s="134"/>
      <c r="I380" s="134"/>
      <c r="J380" s="134"/>
    </row>
    <row r="381" spans="2:10" ht="33" customHeight="1" x14ac:dyDescent="0.25">
      <c r="B381" s="133" t="s">
        <v>16</v>
      </c>
      <c r="C381" s="133"/>
      <c r="D381" s="133"/>
      <c r="E381" s="133"/>
      <c r="F381" s="133"/>
      <c r="G381" s="133"/>
      <c r="H381" s="133"/>
      <c r="I381" s="133"/>
      <c r="J381" s="133"/>
    </row>
    <row r="383" spans="2:10" x14ac:dyDescent="0.25">
      <c r="B383" s="126" t="s">
        <v>719</v>
      </c>
      <c r="C383" s="126"/>
      <c r="D383" s="126"/>
    </row>
    <row r="384" spans="2:10" ht="15.75" thickBot="1" x14ac:dyDescent="0.3"/>
    <row r="385" spans="2:7" ht="15.75" thickBot="1" x14ac:dyDescent="0.3">
      <c r="C385" s="126" t="s">
        <v>720</v>
      </c>
      <c r="D385" s="126"/>
      <c r="F385" s="127"/>
      <c r="G385" s="128"/>
    </row>
    <row r="386" spans="2:7" ht="15.75" thickBot="1" x14ac:dyDescent="0.3">
      <c r="C386" s="25"/>
    </row>
    <row r="387" spans="2:7" ht="15.75" thickBot="1" x14ac:dyDescent="0.3">
      <c r="C387" s="126" t="s">
        <v>721</v>
      </c>
      <c r="D387" s="126"/>
      <c r="F387" s="127"/>
      <c r="G387" s="128"/>
    </row>
    <row r="388" spans="2:7" ht="15.75" thickBot="1" x14ac:dyDescent="0.3">
      <c r="C388" s="25"/>
    </row>
    <row r="389" spans="2:7" ht="15.75" thickBot="1" x14ac:dyDescent="0.3">
      <c r="C389" s="126" t="s">
        <v>722</v>
      </c>
      <c r="D389" s="126"/>
      <c r="F389" s="127"/>
      <c r="G389" s="128"/>
    </row>
    <row r="390" spans="2:7" ht="15.75" thickBot="1" x14ac:dyDescent="0.3">
      <c r="C390" s="25"/>
    </row>
    <row r="391" spans="2:7" ht="15.75" thickBot="1" x14ac:dyDescent="0.3">
      <c r="C391" s="126"/>
      <c r="D391" s="126"/>
      <c r="E391" s="117" t="s">
        <v>740</v>
      </c>
      <c r="F391" s="129">
        <f>SUM(F385,F387,F389)</f>
        <v>0</v>
      </c>
      <c r="G391" s="130"/>
    </row>
    <row r="393" spans="2:7" x14ac:dyDescent="0.25">
      <c r="B393" s="126" t="s">
        <v>723</v>
      </c>
      <c r="C393" s="126"/>
      <c r="D393" s="126"/>
    </row>
    <row r="394" spans="2:7" ht="15.75" thickBot="1" x14ac:dyDescent="0.3"/>
    <row r="395" spans="2:7" ht="15.75" thickBot="1" x14ac:dyDescent="0.3">
      <c r="C395" s="126" t="s">
        <v>724</v>
      </c>
      <c r="D395" s="126"/>
      <c r="F395" s="127"/>
      <c r="G395" s="128"/>
    </row>
    <row r="396" spans="2:7" ht="15.75" thickBot="1" x14ac:dyDescent="0.3">
      <c r="C396" s="25"/>
      <c r="D396" s="25"/>
    </row>
    <row r="397" spans="2:7" ht="15.75" thickBot="1" x14ac:dyDescent="0.3">
      <c r="C397" s="126" t="s">
        <v>725</v>
      </c>
      <c r="D397" s="126"/>
      <c r="F397" s="127"/>
      <c r="G397" s="128"/>
    </row>
    <row r="398" spans="2:7" ht="15.75" thickBot="1" x14ac:dyDescent="0.3">
      <c r="C398" s="25"/>
      <c r="D398" s="25"/>
    </row>
    <row r="399" spans="2:7" ht="15.75" thickBot="1" x14ac:dyDescent="0.3">
      <c r="C399" s="126" t="s">
        <v>722</v>
      </c>
      <c r="D399" s="126"/>
      <c r="F399" s="127"/>
      <c r="G399" s="128"/>
    </row>
    <row r="400" spans="2:7" ht="15.75" thickBot="1" x14ac:dyDescent="0.3">
      <c r="C400" s="25"/>
      <c r="D400" s="25"/>
    </row>
    <row r="401" spans="2:7" ht="15.75" thickBot="1" x14ac:dyDescent="0.3">
      <c r="C401" s="126"/>
      <c r="D401" s="126"/>
      <c r="E401" s="117" t="s">
        <v>740</v>
      </c>
      <c r="F401" s="129">
        <f>SUM(F395,F397,F399)</f>
        <v>0</v>
      </c>
      <c r="G401" s="130"/>
    </row>
    <row r="403" spans="2:7" x14ac:dyDescent="0.25">
      <c r="B403" s="126" t="s">
        <v>726</v>
      </c>
      <c r="C403" s="126"/>
      <c r="D403" s="126"/>
    </row>
    <row r="404" spans="2:7" ht="15.75" thickBot="1" x14ac:dyDescent="0.3"/>
    <row r="405" spans="2:7" ht="15.75" thickBot="1" x14ac:dyDescent="0.3">
      <c r="C405" s="126" t="s">
        <v>727</v>
      </c>
      <c r="D405" s="126"/>
      <c r="F405" s="127"/>
      <c r="G405" s="128"/>
    </row>
    <row r="406" spans="2:7" ht="15.75" thickBot="1" x14ac:dyDescent="0.3">
      <c r="C406" s="25"/>
      <c r="D406" s="25"/>
    </row>
    <row r="407" spans="2:7" ht="15.75" thickBot="1" x14ac:dyDescent="0.3">
      <c r="C407" s="126" t="s">
        <v>728</v>
      </c>
      <c r="D407" s="126"/>
      <c r="F407" s="127"/>
      <c r="G407" s="128"/>
    </row>
    <row r="408" spans="2:7" ht="15.75" thickBot="1" x14ac:dyDescent="0.3">
      <c r="C408" s="25"/>
      <c r="D408" s="25"/>
    </row>
    <row r="409" spans="2:7" ht="15.75" thickBot="1" x14ac:dyDescent="0.3">
      <c r="C409" s="126" t="s">
        <v>729</v>
      </c>
      <c r="D409" s="126"/>
      <c r="F409" s="127"/>
      <c r="G409" s="128"/>
    </row>
    <row r="410" spans="2:7" ht="15.75" thickBot="1" x14ac:dyDescent="0.3">
      <c r="C410" s="25"/>
      <c r="D410" s="25"/>
    </row>
    <row r="411" spans="2:7" ht="15.75" thickBot="1" x14ac:dyDescent="0.3">
      <c r="C411" s="126" t="s">
        <v>755</v>
      </c>
      <c r="D411" s="126"/>
      <c r="F411" s="127"/>
      <c r="G411" s="128"/>
    </row>
    <row r="412" spans="2:7" ht="15.75" thickBot="1" x14ac:dyDescent="0.3">
      <c r="C412" s="25"/>
      <c r="D412" s="25"/>
    </row>
    <row r="413" spans="2:7" ht="15.75" thickBot="1" x14ac:dyDescent="0.3">
      <c r="C413" s="126" t="s">
        <v>730</v>
      </c>
      <c r="D413" s="126"/>
      <c r="F413" s="127"/>
      <c r="G413" s="128"/>
    </row>
    <row r="414" spans="2:7" ht="15.75" thickBot="1" x14ac:dyDescent="0.3">
      <c r="C414" s="25"/>
      <c r="D414" s="25"/>
    </row>
    <row r="415" spans="2:7" ht="15.75" thickBot="1" x14ac:dyDescent="0.3">
      <c r="C415" s="126" t="s">
        <v>731</v>
      </c>
      <c r="D415" s="126"/>
      <c r="F415" s="127"/>
      <c r="G415" s="128"/>
    </row>
    <row r="416" spans="2:7" ht="15.75" thickBot="1" x14ac:dyDescent="0.3">
      <c r="C416" s="25"/>
      <c r="D416" s="25"/>
    </row>
    <row r="417" spans="1:7" ht="15.75" thickBot="1" x14ac:dyDescent="0.3">
      <c r="C417" s="126" t="s">
        <v>732</v>
      </c>
      <c r="D417" s="126"/>
      <c r="F417" s="127"/>
      <c r="G417" s="128"/>
    </row>
    <row r="418" spans="1:7" ht="15.75" thickBot="1" x14ac:dyDescent="0.3">
      <c r="C418" s="25"/>
      <c r="D418" s="25"/>
    </row>
    <row r="419" spans="1:7" ht="15.75" thickBot="1" x14ac:dyDescent="0.3">
      <c r="A419" s="116"/>
      <c r="B419" s="25"/>
      <c r="C419" s="126"/>
      <c r="D419" s="126"/>
      <c r="E419" s="117" t="s">
        <v>740</v>
      </c>
      <c r="F419" s="129">
        <f>SUM(F405,F407,F409,F411,F413,F415,F417)</f>
        <v>0</v>
      </c>
      <c r="G419" s="130"/>
    </row>
    <row r="421" spans="1:7" x14ac:dyDescent="0.25">
      <c r="B421" s="126" t="s">
        <v>733</v>
      </c>
      <c r="C421" s="126"/>
      <c r="D421" s="126"/>
    </row>
    <row r="422" spans="1:7" ht="15.75" thickBot="1" x14ac:dyDescent="0.3"/>
    <row r="423" spans="1:7" ht="15.75" thickBot="1" x14ac:dyDescent="0.3">
      <c r="C423" s="126" t="s">
        <v>735</v>
      </c>
      <c r="D423" s="126"/>
      <c r="F423" s="127"/>
      <c r="G423" s="128"/>
    </row>
    <row r="424" spans="1:7" ht="15.75" thickBot="1" x14ac:dyDescent="0.3">
      <c r="C424" s="25"/>
      <c r="D424" s="25"/>
    </row>
    <row r="425" spans="1:7" ht="15.75" thickBot="1" x14ac:dyDescent="0.3">
      <c r="C425" s="126" t="s">
        <v>736</v>
      </c>
      <c r="D425" s="126"/>
      <c r="F425" s="127"/>
      <c r="G425" s="128"/>
    </row>
    <row r="426" spans="1:7" ht="15.75" thickBot="1" x14ac:dyDescent="0.3">
      <c r="C426" s="25"/>
      <c r="D426" s="25"/>
    </row>
    <row r="427" spans="1:7" ht="15.75" thickBot="1" x14ac:dyDescent="0.3">
      <c r="C427" s="126" t="s">
        <v>737</v>
      </c>
      <c r="D427" s="126"/>
      <c r="F427" s="127"/>
      <c r="G427" s="128"/>
    </row>
    <row r="428" spans="1:7" ht="15.75" thickBot="1" x14ac:dyDescent="0.3">
      <c r="C428" s="25"/>
      <c r="D428" s="25"/>
    </row>
    <row r="429" spans="1:7" ht="15.75" thickBot="1" x14ac:dyDescent="0.3">
      <c r="C429" s="126" t="s">
        <v>738</v>
      </c>
      <c r="D429" s="126"/>
      <c r="F429" s="127"/>
      <c r="G429" s="128"/>
    </row>
    <row r="430" spans="1:7" ht="15.75" thickBot="1" x14ac:dyDescent="0.3">
      <c r="C430" s="25"/>
      <c r="D430" s="25"/>
    </row>
    <row r="431" spans="1:7" ht="15.75" thickBot="1" x14ac:dyDescent="0.3">
      <c r="C431" s="126" t="s">
        <v>739</v>
      </c>
      <c r="D431" s="126"/>
      <c r="F431" s="127"/>
      <c r="G431" s="128"/>
    </row>
    <row r="432" spans="1:7" ht="15.75" thickBot="1" x14ac:dyDescent="0.3">
      <c r="C432" s="25"/>
      <c r="D432" s="25"/>
    </row>
    <row r="433" spans="1:23" ht="15.75" thickBot="1" x14ac:dyDescent="0.3">
      <c r="C433" s="126" t="s">
        <v>734</v>
      </c>
      <c r="D433" s="126"/>
      <c r="F433" s="127"/>
      <c r="G433" s="128"/>
    </row>
    <row r="434" spans="1:23" ht="15.75" thickBot="1" x14ac:dyDescent="0.3">
      <c r="C434" s="25"/>
      <c r="D434" s="25"/>
    </row>
    <row r="435" spans="1:23" ht="15.75" thickBot="1" x14ac:dyDescent="0.3">
      <c r="A435" s="116"/>
      <c r="B435" s="25"/>
      <c r="C435" s="126"/>
      <c r="D435" s="126"/>
      <c r="E435" s="117" t="s">
        <v>740</v>
      </c>
      <c r="F435" s="129">
        <f>SUM(F423,F425,F427,F429,F431,F433)</f>
        <v>0</v>
      </c>
      <c r="G435" s="130"/>
    </row>
    <row r="438" spans="1:23" ht="15.75" thickBot="1" x14ac:dyDescent="0.3"/>
    <row r="439" spans="1:23" ht="15.75" thickBot="1" x14ac:dyDescent="0.3">
      <c r="B439" s="12"/>
      <c r="C439" s="13"/>
      <c r="D439" s="13"/>
      <c r="E439" s="13"/>
      <c r="F439" s="13"/>
      <c r="G439" s="13"/>
      <c r="H439" s="13"/>
      <c r="I439" s="14"/>
      <c r="J439" s="15"/>
    </row>
    <row r="441" spans="1:23" ht="15" customHeight="1" x14ac:dyDescent="0.25">
      <c r="B441" s="267" t="s">
        <v>759</v>
      </c>
      <c r="C441" s="266"/>
      <c r="D441" s="266"/>
      <c r="E441" s="266"/>
      <c r="F441" s="266"/>
      <c r="G441" s="266"/>
      <c r="H441" s="266"/>
      <c r="I441" s="266"/>
      <c r="J441" s="266"/>
    </row>
    <row r="442" spans="1:23" x14ac:dyDescent="0.25">
      <c r="B442" s="266"/>
      <c r="C442" s="266"/>
      <c r="D442" s="266"/>
      <c r="E442" s="266"/>
      <c r="F442" s="266"/>
      <c r="G442" s="266"/>
      <c r="H442" s="266"/>
      <c r="I442" s="266"/>
      <c r="J442" s="266"/>
    </row>
    <row r="443" spans="1:23" x14ac:dyDescent="0.25">
      <c r="B443" s="266"/>
      <c r="C443" s="266"/>
      <c r="D443" s="266"/>
      <c r="E443" s="266"/>
      <c r="F443" s="266"/>
      <c r="G443" s="266"/>
      <c r="H443" s="266"/>
      <c r="I443" s="266"/>
      <c r="J443" s="266"/>
    </row>
    <row r="444" spans="1:23" x14ac:dyDescent="0.25">
      <c r="O444" s="269" t="s">
        <v>760</v>
      </c>
      <c r="P444" s="270"/>
      <c r="Q444" s="270"/>
      <c r="R444" s="270"/>
      <c r="S444" s="270"/>
      <c r="T444" s="270"/>
      <c r="U444" s="270"/>
      <c r="V444" s="270"/>
      <c r="W444" s="270"/>
    </row>
    <row r="445" spans="1:23" x14ac:dyDescent="0.25">
      <c r="C445" s="272" t="s">
        <v>761</v>
      </c>
      <c r="D445" s="273"/>
      <c r="E445" s="273"/>
      <c r="F445" s="273"/>
      <c r="G445" s="273"/>
      <c r="H445" s="273"/>
      <c r="I445" s="273"/>
      <c r="O445" s="270"/>
      <c r="P445" s="270"/>
      <c r="Q445" s="270"/>
      <c r="R445" s="270"/>
      <c r="S445" s="270"/>
      <c r="T445" s="270"/>
      <c r="U445" s="270"/>
      <c r="V445" s="270"/>
      <c r="W445" s="270"/>
    </row>
    <row r="446" spans="1:23" x14ac:dyDescent="0.25">
      <c r="C446" s="273"/>
      <c r="D446" s="273"/>
      <c r="E446" s="273"/>
      <c r="F446" s="273"/>
      <c r="G446" s="273"/>
      <c r="H446" s="273"/>
      <c r="I446" s="273"/>
      <c r="O446" s="270"/>
      <c r="P446" s="270"/>
      <c r="Q446" s="270"/>
      <c r="R446" s="270"/>
      <c r="S446" s="270"/>
      <c r="T446" s="270"/>
      <c r="U446" s="270"/>
      <c r="V446" s="270"/>
      <c r="W446" s="270"/>
    </row>
    <row r="447" spans="1:23" x14ac:dyDescent="0.25">
      <c r="C447" s="273"/>
      <c r="D447" s="273"/>
      <c r="E447" s="273"/>
      <c r="F447" s="273"/>
      <c r="G447" s="273"/>
      <c r="H447" s="273"/>
      <c r="I447" s="273"/>
      <c r="O447" s="270"/>
      <c r="P447" s="270"/>
      <c r="Q447" s="270"/>
      <c r="R447" s="270"/>
      <c r="S447" s="270"/>
      <c r="T447" s="270"/>
      <c r="U447" s="270"/>
      <c r="V447" s="270"/>
      <c r="W447" s="270"/>
    </row>
    <row r="448" spans="1:23" x14ac:dyDescent="0.25">
      <c r="C448" s="273"/>
      <c r="D448" s="273"/>
      <c r="E448" s="273"/>
      <c r="F448" s="273"/>
      <c r="G448" s="273"/>
      <c r="H448" s="273"/>
      <c r="I448" s="273"/>
      <c r="O448" s="270"/>
      <c r="P448" s="270"/>
      <c r="Q448" s="270"/>
      <c r="R448" s="270"/>
      <c r="S448" s="270"/>
      <c r="T448" s="270"/>
      <c r="U448" s="270"/>
      <c r="V448" s="270"/>
      <c r="W448" s="270"/>
    </row>
    <row r="449" spans="1:23" x14ac:dyDescent="0.25">
      <c r="C449" s="273"/>
      <c r="D449" s="273"/>
      <c r="E449" s="273"/>
      <c r="F449" s="273"/>
      <c r="G449" s="273"/>
      <c r="H449" s="273"/>
      <c r="I449" s="273"/>
      <c r="O449" s="270"/>
      <c r="P449" s="270"/>
      <c r="Q449" s="270"/>
      <c r="R449" s="270"/>
      <c r="S449" s="270"/>
      <c r="T449" s="270"/>
      <c r="U449" s="270"/>
      <c r="V449" s="270"/>
      <c r="W449" s="270"/>
    </row>
    <row r="450" spans="1:23" x14ac:dyDescent="0.25">
      <c r="C450" s="273"/>
      <c r="D450" s="273"/>
      <c r="E450" s="273"/>
      <c r="F450" s="273"/>
      <c r="G450" s="273"/>
      <c r="H450" s="273"/>
      <c r="I450" s="273"/>
      <c r="O450" s="270"/>
      <c r="P450" s="270"/>
      <c r="Q450" s="270"/>
      <c r="R450" s="270"/>
      <c r="S450" s="270"/>
      <c r="T450" s="270"/>
      <c r="U450" s="270"/>
      <c r="V450" s="270"/>
      <c r="W450" s="270"/>
    </row>
    <row r="451" spans="1:23" x14ac:dyDescent="0.25">
      <c r="C451" s="273"/>
      <c r="D451" s="273"/>
      <c r="E451" s="273"/>
      <c r="F451" s="273"/>
      <c r="G451" s="273"/>
      <c r="H451" s="273"/>
      <c r="I451" s="273"/>
      <c r="O451" s="270"/>
      <c r="P451" s="270"/>
      <c r="Q451" s="270"/>
      <c r="R451" s="270"/>
      <c r="S451" s="270"/>
      <c r="T451" s="270"/>
      <c r="U451" s="270"/>
      <c r="V451" s="270"/>
      <c r="W451" s="270"/>
    </row>
    <row r="452" spans="1:23" x14ac:dyDescent="0.25">
      <c r="C452" s="273"/>
      <c r="D452" s="273"/>
      <c r="E452" s="273"/>
      <c r="F452" s="273"/>
      <c r="G452" s="273"/>
      <c r="H452" s="273"/>
      <c r="I452" s="273"/>
      <c r="O452" s="270"/>
      <c r="P452" s="270"/>
      <c r="Q452" s="270"/>
      <c r="R452" s="270"/>
      <c r="S452" s="270"/>
      <c r="T452" s="270"/>
      <c r="U452" s="270"/>
      <c r="V452" s="270"/>
      <c r="W452" s="270"/>
    </row>
    <row r="453" spans="1:23" x14ac:dyDescent="0.25">
      <c r="C453" s="273"/>
      <c r="D453" s="273"/>
      <c r="E453" s="273"/>
      <c r="F453" s="273"/>
      <c r="G453" s="273"/>
      <c r="H453" s="273"/>
      <c r="I453" s="273"/>
      <c r="O453" s="270"/>
      <c r="P453" s="270"/>
      <c r="Q453" s="270"/>
      <c r="R453" s="270"/>
      <c r="S453" s="270"/>
      <c r="T453" s="270"/>
      <c r="U453" s="270"/>
      <c r="V453" s="270"/>
      <c r="W453" s="270"/>
    </row>
    <row r="454" spans="1:23" x14ac:dyDescent="0.25">
      <c r="C454" s="273"/>
      <c r="D454" s="273"/>
      <c r="E454" s="273"/>
      <c r="F454" s="273"/>
      <c r="G454" s="273"/>
      <c r="H454" s="273"/>
      <c r="I454" s="273"/>
      <c r="O454" s="270"/>
      <c r="P454" s="270"/>
      <c r="Q454" s="270"/>
      <c r="R454" s="270"/>
      <c r="S454" s="270"/>
      <c r="T454" s="270"/>
      <c r="U454" s="270"/>
      <c r="V454" s="270"/>
      <c r="W454" s="270"/>
    </row>
    <row r="455" spans="1:23" x14ac:dyDescent="0.25">
      <c r="E455" s="271"/>
      <c r="F455" s="271"/>
      <c r="G455" s="271"/>
      <c r="O455" s="270"/>
      <c r="P455" s="270"/>
      <c r="Q455" s="270"/>
      <c r="R455" s="270"/>
      <c r="S455" s="270"/>
      <c r="T455" s="270"/>
      <c r="U455" s="270"/>
      <c r="V455" s="270"/>
      <c r="W455" s="270"/>
    </row>
    <row r="456" spans="1:23" x14ac:dyDescent="0.25">
      <c r="A456" s="8"/>
      <c r="B456" s="8"/>
      <c r="C456" s="8"/>
      <c r="D456" s="8"/>
      <c r="E456" s="271"/>
      <c r="F456" s="271"/>
      <c r="G456" s="271"/>
      <c r="H456" s="8"/>
      <c r="I456" s="11"/>
      <c r="J456" s="11"/>
      <c r="K456" s="8"/>
      <c r="O456" s="270"/>
      <c r="P456" s="270"/>
      <c r="Q456" s="270"/>
      <c r="R456" s="270"/>
      <c r="S456" s="270"/>
      <c r="T456" s="270"/>
      <c r="U456" s="270"/>
      <c r="V456" s="270"/>
      <c r="W456" s="270"/>
    </row>
    <row r="457" spans="1:23" ht="15" customHeight="1" x14ac:dyDescent="0.25">
      <c r="A457" s="8"/>
      <c r="B457" s="8"/>
      <c r="C457" s="8"/>
      <c r="D457" s="268"/>
      <c r="E457" s="268"/>
      <c r="F457" s="268"/>
      <c r="G457" s="268"/>
      <c r="H457" s="268"/>
      <c r="I457" s="11"/>
      <c r="J457" s="11"/>
      <c r="K457" s="8"/>
      <c r="O457" s="270"/>
      <c r="P457" s="270"/>
      <c r="Q457" s="270"/>
      <c r="R457" s="270"/>
      <c r="S457" s="270"/>
      <c r="T457" s="270"/>
      <c r="U457" s="270"/>
      <c r="V457" s="270"/>
      <c r="W457" s="270"/>
    </row>
    <row r="458" spans="1:23" x14ac:dyDescent="0.25">
      <c r="A458" s="8"/>
      <c r="B458" s="8"/>
      <c r="C458" s="8"/>
      <c r="D458" s="268"/>
      <c r="E458" s="268"/>
      <c r="F458" s="268"/>
      <c r="G458" s="268"/>
      <c r="H458" s="268"/>
      <c r="I458" s="11"/>
      <c r="J458" s="11"/>
      <c r="K458" s="8"/>
    </row>
    <row r="459" spans="1:23" x14ac:dyDescent="0.25">
      <c r="A459" s="110"/>
      <c r="B459" s="110"/>
      <c r="C459" s="110"/>
      <c r="D459" s="110"/>
      <c r="E459" s="110"/>
      <c r="F459" s="110"/>
      <c r="G459" s="110"/>
      <c r="H459" s="110"/>
      <c r="I459" s="111"/>
      <c r="J459" s="111"/>
      <c r="K459" s="110"/>
    </row>
    <row r="460" spans="1:23" x14ac:dyDescent="0.25">
      <c r="A460" s="110"/>
      <c r="B460" s="110"/>
      <c r="C460" s="110"/>
      <c r="D460" s="110"/>
      <c r="E460" s="110"/>
      <c r="F460" s="110"/>
      <c r="G460" s="110"/>
      <c r="H460" s="110"/>
      <c r="I460" s="111"/>
      <c r="J460" s="111"/>
      <c r="K460" s="110"/>
    </row>
    <row r="461" spans="1:23" x14ac:dyDescent="0.25">
      <c r="A461" s="110"/>
      <c r="B461" s="110"/>
      <c r="C461" s="110"/>
      <c r="D461" s="110"/>
      <c r="E461" s="110"/>
      <c r="F461" s="110"/>
      <c r="G461" s="110"/>
      <c r="H461" s="110"/>
      <c r="I461" s="111"/>
      <c r="J461" s="111"/>
      <c r="K461" s="110"/>
    </row>
    <row r="462" spans="1:23" x14ac:dyDescent="0.25">
      <c r="A462" s="110"/>
      <c r="B462" s="110"/>
      <c r="C462" s="110"/>
      <c r="D462" s="110"/>
      <c r="E462" s="110"/>
      <c r="F462" s="110"/>
      <c r="G462" s="110"/>
      <c r="H462" s="110"/>
      <c r="I462" s="111"/>
      <c r="J462" s="111"/>
      <c r="K462" s="110"/>
    </row>
    <row r="463" spans="1:23" x14ac:dyDescent="0.25">
      <c r="A463" s="110"/>
      <c r="B463" s="110"/>
      <c r="C463" s="110"/>
      <c r="D463" s="110"/>
      <c r="E463" s="110"/>
      <c r="F463" s="110"/>
      <c r="G463" s="110"/>
      <c r="H463" s="110"/>
      <c r="I463" s="111"/>
      <c r="J463" s="111"/>
      <c r="K463" s="110"/>
    </row>
    <row r="464" spans="1:23" x14ac:dyDescent="0.25">
      <c r="A464" s="110"/>
      <c r="B464" s="110"/>
      <c r="C464" s="110"/>
      <c r="D464" s="110"/>
      <c r="E464" s="110"/>
      <c r="F464" s="110"/>
      <c r="G464" s="110"/>
      <c r="H464" s="110"/>
      <c r="I464" s="111"/>
      <c r="J464" s="111"/>
      <c r="K464" s="110"/>
    </row>
    <row r="465" spans="1:11" x14ac:dyDescent="0.25">
      <c r="A465" s="110"/>
      <c r="B465" s="110"/>
      <c r="C465" s="110"/>
      <c r="D465" s="110"/>
      <c r="E465" s="110"/>
      <c r="F465" s="110"/>
      <c r="G465" s="110"/>
      <c r="H465" s="110"/>
      <c r="I465" s="111"/>
      <c r="J465" s="111"/>
      <c r="K465" s="110"/>
    </row>
    <row r="466" spans="1:11" x14ac:dyDescent="0.25">
      <c r="A466" s="110"/>
      <c r="B466" s="110"/>
      <c r="C466" s="110"/>
      <c r="D466" s="110"/>
      <c r="E466" s="110"/>
      <c r="F466" s="110"/>
      <c r="G466" s="110"/>
      <c r="H466" s="110"/>
      <c r="I466" s="111"/>
      <c r="J466" s="111"/>
      <c r="K466" s="110"/>
    </row>
    <row r="467" spans="1:11" x14ac:dyDescent="0.25">
      <c r="A467" s="110"/>
      <c r="B467" s="110"/>
      <c r="C467" s="110"/>
      <c r="D467" s="110"/>
      <c r="E467" s="110"/>
      <c r="F467" s="110"/>
      <c r="G467" s="110"/>
      <c r="H467" s="110"/>
      <c r="I467" s="111"/>
      <c r="J467" s="111"/>
      <c r="K467" s="110"/>
    </row>
    <row r="468" spans="1:11" x14ac:dyDescent="0.25">
      <c r="A468" s="110"/>
      <c r="B468" s="110"/>
      <c r="C468" s="110"/>
      <c r="D468" s="110"/>
      <c r="E468" s="110"/>
      <c r="F468" s="110"/>
      <c r="G468" s="110"/>
      <c r="H468" s="110"/>
      <c r="I468" s="111"/>
      <c r="J468" s="111"/>
      <c r="K468" s="110"/>
    </row>
    <row r="469" spans="1:11" x14ac:dyDescent="0.25">
      <c r="A469" s="110"/>
      <c r="B469" s="110"/>
      <c r="C469" s="110"/>
      <c r="D469" s="110"/>
      <c r="E469" s="110"/>
      <c r="F469" s="110"/>
      <c r="G469" s="110"/>
      <c r="H469" s="110"/>
      <c r="I469" s="111"/>
      <c r="J469" s="111"/>
      <c r="K469" s="110"/>
    </row>
    <row r="470" spans="1:11" x14ac:dyDescent="0.25">
      <c r="A470" s="110"/>
      <c r="B470" s="110"/>
      <c r="C470" s="110"/>
      <c r="D470" s="110"/>
      <c r="E470" s="110"/>
      <c r="F470" s="110"/>
      <c r="G470" s="110"/>
      <c r="H470" s="110"/>
      <c r="I470" s="111"/>
      <c r="J470" s="111"/>
      <c r="K470" s="110"/>
    </row>
    <row r="471" spans="1:11" x14ac:dyDescent="0.25">
      <c r="A471" s="110"/>
      <c r="B471" s="110"/>
      <c r="C471" s="110"/>
      <c r="D471" s="110"/>
      <c r="E471" s="110"/>
      <c r="F471" s="110"/>
      <c r="G471" s="110"/>
      <c r="H471" s="110"/>
      <c r="I471" s="111"/>
      <c r="J471" s="111"/>
      <c r="K471" s="110"/>
    </row>
    <row r="472" spans="1:11" x14ac:dyDescent="0.25">
      <c r="A472" s="110"/>
      <c r="B472" s="110"/>
      <c r="C472" s="110"/>
      <c r="D472" s="110"/>
      <c r="E472" s="110"/>
      <c r="F472" s="110"/>
      <c r="G472" s="110"/>
      <c r="H472" s="110"/>
      <c r="I472" s="111"/>
      <c r="J472" s="111"/>
      <c r="K472" s="110"/>
    </row>
    <row r="473" spans="1:11" x14ac:dyDescent="0.25">
      <c r="A473" s="110"/>
      <c r="B473" s="110"/>
      <c r="C473" s="110"/>
      <c r="D473" s="110"/>
      <c r="E473" s="110"/>
      <c r="F473" s="110"/>
      <c r="G473" s="110"/>
      <c r="H473" s="110"/>
      <c r="I473" s="111"/>
      <c r="J473" s="111"/>
      <c r="K473" s="110"/>
    </row>
    <row r="474" spans="1:11" x14ac:dyDescent="0.25">
      <c r="A474" s="110"/>
      <c r="B474" s="110"/>
      <c r="C474" s="110"/>
      <c r="D474" s="110"/>
      <c r="E474" s="110"/>
      <c r="F474" s="110"/>
      <c r="G474" s="110"/>
      <c r="H474" s="110"/>
      <c r="I474" s="111"/>
      <c r="J474" s="111"/>
      <c r="K474" s="110"/>
    </row>
    <row r="475" spans="1:11" x14ac:dyDescent="0.25">
      <c r="A475" s="110"/>
      <c r="B475" s="110"/>
      <c r="C475" s="110"/>
      <c r="D475" s="110"/>
      <c r="E475" s="110"/>
      <c r="F475" s="110"/>
      <c r="G475" s="110"/>
      <c r="H475" s="110"/>
      <c r="I475" s="111"/>
      <c r="J475" s="111"/>
      <c r="K475" s="110"/>
    </row>
    <row r="476" spans="1:11" x14ac:dyDescent="0.25">
      <c r="A476" s="110"/>
      <c r="B476" s="110"/>
      <c r="C476" s="110"/>
      <c r="D476" s="110"/>
      <c r="E476" s="110"/>
      <c r="F476" s="110"/>
      <c r="G476" s="110"/>
      <c r="H476" s="110"/>
      <c r="I476" s="111"/>
      <c r="J476" s="111"/>
      <c r="K476" s="110"/>
    </row>
    <row r="477" spans="1:11" x14ac:dyDescent="0.25">
      <c r="A477" s="110"/>
      <c r="B477" s="110"/>
      <c r="C477" s="110"/>
      <c r="D477" s="110"/>
      <c r="E477" s="110"/>
      <c r="F477" s="110"/>
      <c r="G477" s="110"/>
      <c r="H477" s="110"/>
      <c r="I477" s="111"/>
      <c r="J477" s="111"/>
      <c r="K477" s="110"/>
    </row>
    <row r="478" spans="1:11" x14ac:dyDescent="0.25">
      <c r="A478" s="110"/>
      <c r="B478" s="110"/>
      <c r="C478" s="110"/>
      <c r="D478" s="110"/>
      <c r="E478" s="110"/>
      <c r="F478" s="110"/>
      <c r="G478" s="110"/>
      <c r="H478" s="110"/>
      <c r="I478" s="111"/>
      <c r="J478" s="111"/>
      <c r="K478" s="110"/>
    </row>
    <row r="479" spans="1:11" x14ac:dyDescent="0.25">
      <c r="A479" s="110"/>
      <c r="B479" s="110"/>
      <c r="C479" s="110"/>
      <c r="D479" s="110"/>
      <c r="E479" s="110"/>
      <c r="F479" s="110"/>
      <c r="G479" s="110"/>
      <c r="H479" s="110"/>
      <c r="I479" s="111"/>
      <c r="J479" s="111"/>
      <c r="K479" s="110"/>
    </row>
    <row r="480" spans="1:11" x14ac:dyDescent="0.25">
      <c r="A480" s="110"/>
      <c r="B480" s="110"/>
      <c r="C480" s="110"/>
      <c r="D480" s="110"/>
      <c r="E480" s="110"/>
      <c r="F480" s="110"/>
      <c r="G480" s="110"/>
      <c r="H480" s="110"/>
      <c r="I480" s="111"/>
      <c r="J480" s="111"/>
      <c r="K480" s="110"/>
    </row>
    <row r="481" spans="1:11" x14ac:dyDescent="0.25">
      <c r="A481" s="110"/>
      <c r="B481" s="110"/>
      <c r="C481" s="110"/>
      <c r="D481" s="110"/>
      <c r="E481" s="110"/>
      <c r="F481" s="110"/>
      <c r="G481" s="110"/>
      <c r="H481" s="110"/>
      <c r="I481" s="111"/>
      <c r="J481" s="111"/>
      <c r="K481" s="110"/>
    </row>
    <row r="482" spans="1:11" x14ac:dyDescent="0.25">
      <c r="A482" s="110"/>
      <c r="B482" s="110"/>
      <c r="C482" s="110"/>
      <c r="D482" s="110"/>
      <c r="E482" s="110"/>
      <c r="F482" s="110"/>
      <c r="G482" s="110"/>
      <c r="H482" s="110"/>
      <c r="I482" s="111"/>
      <c r="J482" s="111"/>
      <c r="K482" s="110"/>
    </row>
    <row r="483" spans="1:11" x14ac:dyDescent="0.25">
      <c r="A483" s="110"/>
      <c r="B483" s="110"/>
      <c r="C483" s="110"/>
      <c r="D483" s="110"/>
      <c r="E483" s="110"/>
      <c r="F483" s="110"/>
      <c r="G483" s="110"/>
      <c r="H483" s="110"/>
      <c r="I483" s="111"/>
      <c r="J483" s="111"/>
      <c r="K483" s="110"/>
    </row>
    <row r="484" spans="1:11" x14ac:dyDescent="0.25">
      <c r="A484" s="110"/>
      <c r="B484" s="110"/>
      <c r="C484" s="110"/>
      <c r="D484" s="110"/>
      <c r="E484" s="110"/>
      <c r="F484" s="110"/>
      <c r="G484" s="110"/>
      <c r="H484" s="110"/>
      <c r="I484" s="111"/>
      <c r="J484" s="111"/>
      <c r="K484" s="110"/>
    </row>
    <row r="485" spans="1:11" x14ac:dyDescent="0.25">
      <c r="A485" s="110"/>
      <c r="B485" s="110"/>
      <c r="C485" s="110"/>
      <c r="D485" s="110"/>
      <c r="E485" s="110"/>
      <c r="F485" s="110"/>
      <c r="G485" s="110"/>
      <c r="H485" s="110"/>
      <c r="I485" s="111"/>
      <c r="J485" s="111"/>
      <c r="K485" s="110"/>
    </row>
    <row r="486" spans="1:11" x14ac:dyDescent="0.25">
      <c r="A486" s="110"/>
      <c r="B486" s="110"/>
      <c r="C486" s="110"/>
      <c r="D486" s="110"/>
      <c r="E486" s="110"/>
      <c r="F486" s="110"/>
      <c r="G486" s="110"/>
      <c r="H486" s="110"/>
      <c r="I486" s="111"/>
      <c r="J486" s="111"/>
      <c r="K486" s="110"/>
    </row>
    <row r="487" spans="1:11" x14ac:dyDescent="0.25">
      <c r="A487" s="110"/>
      <c r="B487" s="110"/>
      <c r="C487" s="110"/>
      <c r="D487" s="110"/>
      <c r="E487" s="110"/>
      <c r="F487" s="110"/>
      <c r="G487" s="110"/>
      <c r="H487" s="110"/>
      <c r="I487" s="111"/>
      <c r="J487" s="111"/>
      <c r="K487" s="110"/>
    </row>
    <row r="488" spans="1:11" x14ac:dyDescent="0.25">
      <c r="A488" s="110"/>
      <c r="B488" s="110"/>
      <c r="C488" s="110"/>
      <c r="D488" s="110"/>
      <c r="E488" s="110"/>
      <c r="F488" s="110"/>
      <c r="G488" s="110"/>
      <c r="H488" s="110"/>
      <c r="I488" s="111"/>
      <c r="J488" s="111"/>
      <c r="K488" s="110"/>
    </row>
    <row r="489" spans="1:11" x14ac:dyDescent="0.25">
      <c r="A489" s="110"/>
      <c r="B489" s="110"/>
      <c r="C489" s="110"/>
      <c r="D489" s="110"/>
      <c r="E489" s="110"/>
      <c r="F489" s="110"/>
      <c r="G489" s="110"/>
      <c r="H489" s="110"/>
      <c r="I489" s="111"/>
      <c r="J489" s="111"/>
      <c r="K489" s="110"/>
    </row>
    <row r="490" spans="1:11" x14ac:dyDescent="0.25">
      <c r="A490" s="110"/>
      <c r="B490" s="110"/>
      <c r="C490" s="110"/>
      <c r="D490" s="110"/>
      <c r="E490" s="110"/>
      <c r="F490" s="110"/>
      <c r="G490" s="110"/>
      <c r="H490" s="110"/>
      <c r="I490" s="111"/>
      <c r="J490" s="111"/>
      <c r="K490" s="110"/>
    </row>
    <row r="491" spans="1:11" x14ac:dyDescent="0.25">
      <c r="A491" s="110"/>
      <c r="B491" s="110"/>
      <c r="C491" s="110"/>
      <c r="D491" s="110"/>
      <c r="E491" s="110"/>
      <c r="F491" s="110"/>
      <c r="G491" s="110"/>
      <c r="H491" s="110"/>
      <c r="I491" s="111"/>
      <c r="J491" s="111"/>
      <c r="K491" s="110"/>
    </row>
    <row r="492" spans="1:11" x14ac:dyDescent="0.25">
      <c r="A492" s="110"/>
      <c r="B492" s="110"/>
      <c r="C492" s="110"/>
      <c r="D492" s="110"/>
      <c r="E492" s="110"/>
      <c r="F492" s="110"/>
      <c r="G492" s="110"/>
      <c r="H492" s="110"/>
      <c r="I492" s="111"/>
      <c r="J492" s="111"/>
      <c r="K492" s="110"/>
    </row>
    <row r="493" spans="1:11" x14ac:dyDescent="0.25">
      <c r="A493" s="110"/>
      <c r="B493" s="110"/>
      <c r="C493" s="110"/>
      <c r="D493" s="110"/>
      <c r="E493" s="110"/>
      <c r="F493" s="110"/>
      <c r="G493" s="110"/>
      <c r="H493" s="110"/>
      <c r="I493" s="111"/>
      <c r="J493" s="111"/>
      <c r="K493" s="110"/>
    </row>
    <row r="494" spans="1:11" x14ac:dyDescent="0.25">
      <c r="A494" s="110"/>
      <c r="B494" s="110"/>
      <c r="C494" s="110"/>
      <c r="D494" s="110"/>
      <c r="E494" s="110"/>
      <c r="F494" s="110"/>
      <c r="G494" s="110"/>
      <c r="H494" s="110"/>
      <c r="I494" s="111"/>
      <c r="J494" s="111"/>
      <c r="K494" s="110"/>
    </row>
    <row r="495" spans="1:11" x14ac:dyDescent="0.25">
      <c r="A495" s="110"/>
      <c r="B495" s="110"/>
      <c r="C495" s="110"/>
      <c r="D495" s="110"/>
      <c r="E495" s="110"/>
      <c r="F495" s="110"/>
      <c r="G495" s="110"/>
      <c r="H495" s="110"/>
      <c r="I495" s="111"/>
      <c r="J495" s="111"/>
      <c r="K495" s="110"/>
    </row>
    <row r="496" spans="1:11" x14ac:dyDescent="0.25">
      <c r="A496" s="110"/>
      <c r="B496" s="110"/>
      <c r="C496" s="110"/>
      <c r="D496" s="110"/>
      <c r="E496" s="110"/>
      <c r="F496" s="110"/>
      <c r="G496" s="110"/>
      <c r="H496" s="110"/>
      <c r="I496" s="111"/>
      <c r="J496" s="111"/>
      <c r="K496" s="110"/>
    </row>
    <row r="497" spans="1:11" x14ac:dyDescent="0.25">
      <c r="A497" s="110"/>
      <c r="B497" s="110"/>
      <c r="C497" s="110"/>
      <c r="D497" s="110"/>
      <c r="E497" s="110"/>
      <c r="F497" s="110"/>
      <c r="G497" s="110"/>
      <c r="H497" s="110"/>
      <c r="I497" s="111"/>
      <c r="J497" s="111"/>
      <c r="K497" s="110"/>
    </row>
    <row r="498" spans="1:11" x14ac:dyDescent="0.25">
      <c r="A498" s="110"/>
      <c r="B498" s="110"/>
      <c r="C498" s="110"/>
      <c r="D498" s="110"/>
      <c r="E498" s="110"/>
      <c r="F498" s="110"/>
      <c r="G498" s="110"/>
      <c r="H498" s="110"/>
      <c r="I498" s="111"/>
      <c r="J498" s="111"/>
      <c r="K498" s="110"/>
    </row>
    <row r="499" spans="1:11" x14ac:dyDescent="0.25">
      <c r="A499" s="110"/>
      <c r="B499" s="110"/>
      <c r="C499" s="110"/>
      <c r="D499" s="110"/>
      <c r="E499" s="110"/>
      <c r="F499" s="110"/>
      <c r="G499" s="110"/>
      <c r="H499" s="110"/>
      <c r="I499" s="111"/>
      <c r="J499" s="111"/>
      <c r="K499" s="110"/>
    </row>
    <row r="500" spans="1:11" x14ac:dyDescent="0.25">
      <c r="A500" s="110"/>
      <c r="B500" s="110"/>
      <c r="C500" s="110"/>
      <c r="D500" s="110"/>
      <c r="E500" s="110"/>
      <c r="F500" s="110"/>
      <c r="G500" s="110"/>
      <c r="H500" s="110"/>
      <c r="I500" s="111"/>
      <c r="J500" s="111"/>
      <c r="K500" s="110"/>
    </row>
    <row r="501" spans="1:11" x14ac:dyDescent="0.25">
      <c r="A501" s="110"/>
      <c r="B501" s="110"/>
      <c r="C501" s="110"/>
      <c r="D501" s="110"/>
      <c r="E501" s="110"/>
      <c r="F501" s="110"/>
      <c r="G501" s="110"/>
      <c r="H501" s="110"/>
      <c r="I501" s="111"/>
      <c r="J501" s="111"/>
      <c r="K501" s="110"/>
    </row>
    <row r="502" spans="1:11" x14ac:dyDescent="0.25">
      <c r="A502" s="110"/>
      <c r="B502" s="110"/>
      <c r="C502" s="110"/>
      <c r="D502" s="110"/>
      <c r="E502" s="110"/>
      <c r="F502" s="110"/>
      <c r="G502" s="110"/>
      <c r="H502" s="110"/>
      <c r="I502" s="111"/>
      <c r="J502" s="111"/>
      <c r="K502" s="110"/>
    </row>
    <row r="503" spans="1:11" x14ac:dyDescent="0.25">
      <c r="A503" s="110"/>
      <c r="B503" s="110"/>
      <c r="C503" s="110"/>
      <c r="D503" s="110"/>
      <c r="E503" s="110"/>
      <c r="F503" s="110"/>
      <c r="G503" s="110"/>
      <c r="H503" s="110"/>
      <c r="I503" s="111"/>
      <c r="J503" s="111"/>
      <c r="K503" s="110"/>
    </row>
    <row r="504" spans="1:11" x14ac:dyDescent="0.25">
      <c r="A504" s="110"/>
      <c r="B504" s="110"/>
      <c r="C504" s="110"/>
      <c r="D504" s="110"/>
      <c r="E504" s="110"/>
      <c r="F504" s="110"/>
      <c r="G504" s="110"/>
      <c r="H504" s="110"/>
      <c r="I504" s="111"/>
      <c r="J504" s="111"/>
      <c r="K504" s="110"/>
    </row>
    <row r="505" spans="1:11" x14ac:dyDescent="0.25">
      <c r="A505" s="110"/>
      <c r="B505" s="110"/>
      <c r="C505" s="110"/>
      <c r="D505" s="110"/>
      <c r="E505" s="110"/>
      <c r="F505" s="110"/>
      <c r="G505" s="110"/>
      <c r="H505" s="110"/>
      <c r="I505" s="111"/>
      <c r="J505" s="111"/>
      <c r="K505" s="110"/>
    </row>
    <row r="506" spans="1:11" x14ac:dyDescent="0.25">
      <c r="A506" s="110"/>
      <c r="B506" s="110"/>
      <c r="C506" s="110"/>
      <c r="D506" s="110"/>
      <c r="E506" s="110"/>
      <c r="F506" s="110"/>
      <c r="G506" s="110"/>
      <c r="H506" s="110"/>
      <c r="I506" s="111"/>
      <c r="J506" s="111"/>
      <c r="K506" s="110"/>
    </row>
    <row r="507" spans="1:11" x14ac:dyDescent="0.25">
      <c r="A507" s="110"/>
      <c r="B507" s="110"/>
      <c r="C507" s="110"/>
      <c r="D507" s="110"/>
      <c r="E507" s="110"/>
      <c r="F507" s="110"/>
      <c r="G507" s="110"/>
      <c r="H507" s="110"/>
      <c r="I507" s="111"/>
      <c r="J507" s="111"/>
      <c r="K507" s="110"/>
    </row>
    <row r="508" spans="1:11" x14ac:dyDescent="0.25">
      <c r="A508" s="110"/>
      <c r="B508" s="110"/>
      <c r="C508" s="110"/>
      <c r="D508" s="110"/>
      <c r="E508" s="110"/>
      <c r="F508" s="110"/>
      <c r="G508" s="110"/>
      <c r="H508" s="110"/>
      <c r="I508" s="111"/>
      <c r="J508" s="111"/>
      <c r="K508" s="110"/>
    </row>
    <row r="509" spans="1:11" x14ac:dyDescent="0.25">
      <c r="A509" s="110"/>
      <c r="B509" s="110"/>
      <c r="C509" s="110"/>
      <c r="D509" s="110"/>
      <c r="E509" s="110"/>
      <c r="F509" s="110"/>
      <c r="G509" s="110"/>
      <c r="H509" s="110"/>
      <c r="I509" s="111"/>
      <c r="J509" s="111"/>
      <c r="K509" s="110"/>
    </row>
    <row r="510" spans="1:11" x14ac:dyDescent="0.25">
      <c r="A510" s="110"/>
      <c r="B510" s="110"/>
      <c r="C510" s="110"/>
      <c r="D510" s="110"/>
      <c r="E510" s="110"/>
      <c r="F510" s="110"/>
      <c r="G510" s="110"/>
      <c r="H510" s="110"/>
      <c r="I510" s="111"/>
      <c r="J510" s="111"/>
      <c r="K510" s="110"/>
    </row>
    <row r="511" spans="1:11" x14ac:dyDescent="0.25">
      <c r="A511" s="110"/>
      <c r="B511" s="110"/>
      <c r="C511" s="110"/>
      <c r="D511" s="110"/>
      <c r="E511" s="110"/>
      <c r="F511" s="110"/>
      <c r="G511" s="110"/>
      <c r="H511" s="110"/>
      <c r="I511" s="111"/>
      <c r="J511" s="111"/>
      <c r="K511" s="110"/>
    </row>
    <row r="512" spans="1:11" x14ac:dyDescent="0.25">
      <c r="A512" s="110"/>
      <c r="B512" s="110"/>
      <c r="C512" s="110"/>
      <c r="D512" s="110"/>
      <c r="E512" s="110"/>
      <c r="F512" s="110"/>
      <c r="G512" s="110"/>
      <c r="H512" s="110"/>
      <c r="I512" s="111"/>
      <c r="J512" s="111"/>
      <c r="K512" s="110"/>
    </row>
    <row r="513" spans="1:11" x14ac:dyDescent="0.25">
      <c r="A513" s="110"/>
      <c r="B513" s="110"/>
      <c r="C513" s="110"/>
      <c r="D513" s="110"/>
      <c r="E513" s="110"/>
      <c r="F513" s="110"/>
      <c r="G513" s="110"/>
      <c r="H513" s="110"/>
      <c r="I513" s="111"/>
      <c r="J513" s="111"/>
      <c r="K513" s="110"/>
    </row>
    <row r="514" spans="1:11" x14ac:dyDescent="0.25">
      <c r="A514" s="110"/>
      <c r="B514" s="110"/>
      <c r="C514" s="110"/>
      <c r="D514" s="110"/>
      <c r="E514" s="110"/>
      <c r="F514" s="110"/>
      <c r="G514" s="110"/>
      <c r="H514" s="110"/>
      <c r="I514" s="111"/>
      <c r="J514" s="111"/>
      <c r="K514" s="110"/>
    </row>
    <row r="515" spans="1:11" x14ac:dyDescent="0.25">
      <c r="A515" s="110"/>
      <c r="B515" s="110"/>
      <c r="C515" s="110"/>
      <c r="D515" s="110"/>
      <c r="E515" s="110"/>
      <c r="F515" s="110"/>
      <c r="G515" s="110"/>
      <c r="H515" s="110"/>
      <c r="I515" s="111"/>
      <c r="J515" s="111"/>
      <c r="K515" s="110"/>
    </row>
    <row r="516" spans="1:11" x14ac:dyDescent="0.25">
      <c r="A516" s="110"/>
      <c r="B516" s="110"/>
      <c r="C516" s="110"/>
      <c r="D516" s="110"/>
      <c r="E516" s="110"/>
      <c r="F516" s="110"/>
      <c r="G516" s="110"/>
      <c r="H516" s="110"/>
      <c r="I516" s="111"/>
      <c r="J516" s="111"/>
      <c r="K516" s="110"/>
    </row>
    <row r="517" spans="1:11" x14ac:dyDescent="0.25">
      <c r="A517" s="110"/>
      <c r="B517" s="110"/>
      <c r="C517" s="110"/>
      <c r="D517" s="110"/>
      <c r="E517" s="110"/>
      <c r="F517" s="110"/>
      <c r="G517" s="110"/>
      <c r="H517" s="110"/>
      <c r="I517" s="111"/>
      <c r="J517" s="111"/>
      <c r="K517" s="110"/>
    </row>
    <row r="518" spans="1:11" x14ac:dyDescent="0.25">
      <c r="A518" s="110"/>
      <c r="B518" s="110"/>
      <c r="C518" s="110"/>
      <c r="D518" s="110"/>
      <c r="E518" s="110"/>
      <c r="F518" s="110"/>
      <c r="G518" s="110"/>
      <c r="H518" s="110"/>
      <c r="I518" s="111"/>
      <c r="J518" s="111"/>
      <c r="K518" s="110"/>
    </row>
    <row r="519" spans="1:11" x14ac:dyDescent="0.25">
      <c r="A519" s="110"/>
      <c r="B519" s="110"/>
      <c r="C519" s="110"/>
      <c r="D519" s="110"/>
      <c r="E519" s="110"/>
      <c r="F519" s="110"/>
      <c r="G519" s="110"/>
      <c r="H519" s="110"/>
      <c r="I519" s="111"/>
      <c r="J519" s="111"/>
      <c r="K519" s="110"/>
    </row>
    <row r="520" spans="1:11" x14ac:dyDescent="0.25">
      <c r="A520" s="110"/>
      <c r="B520" s="110"/>
      <c r="C520" s="110"/>
      <c r="D520" s="110"/>
      <c r="E520" s="110"/>
      <c r="F520" s="110"/>
      <c r="G520" s="110"/>
      <c r="H520" s="110"/>
      <c r="I520" s="111"/>
      <c r="J520" s="111"/>
      <c r="K520" s="110"/>
    </row>
    <row r="521" spans="1:11" x14ac:dyDescent="0.25">
      <c r="A521" s="110"/>
      <c r="B521" s="110"/>
      <c r="C521" s="110"/>
      <c r="D521" s="110"/>
      <c r="E521" s="110"/>
      <c r="F521" s="110"/>
      <c r="G521" s="110"/>
      <c r="H521" s="110"/>
      <c r="I521" s="111"/>
      <c r="J521" s="111"/>
      <c r="K521" s="110"/>
    </row>
    <row r="522" spans="1:11" x14ac:dyDescent="0.25">
      <c r="A522" s="110"/>
      <c r="B522" s="110"/>
      <c r="C522" s="110"/>
      <c r="D522" s="110"/>
      <c r="E522" s="110"/>
      <c r="F522" s="110"/>
      <c r="G522" s="110"/>
      <c r="H522" s="110"/>
      <c r="I522" s="111"/>
      <c r="J522" s="111"/>
      <c r="K522" s="110"/>
    </row>
    <row r="523" spans="1:11" x14ac:dyDescent="0.25">
      <c r="A523" s="110"/>
      <c r="B523" s="110"/>
      <c r="C523" s="110"/>
      <c r="D523" s="110"/>
      <c r="E523" s="110"/>
      <c r="F523" s="110"/>
      <c r="G523" s="110"/>
      <c r="H523" s="110"/>
      <c r="I523" s="111"/>
      <c r="J523" s="111"/>
      <c r="K523" s="110"/>
    </row>
    <row r="524" spans="1:11" x14ac:dyDescent="0.25">
      <c r="A524" s="110"/>
      <c r="B524" s="110"/>
      <c r="C524" s="110"/>
      <c r="D524" s="110"/>
      <c r="E524" s="110"/>
      <c r="F524" s="110"/>
      <c r="G524" s="110"/>
      <c r="H524" s="110"/>
      <c r="I524" s="111"/>
      <c r="J524" s="111"/>
      <c r="K524" s="110"/>
    </row>
    <row r="525" spans="1:11" x14ac:dyDescent="0.25">
      <c r="A525" s="110"/>
      <c r="B525" s="110"/>
      <c r="C525" s="110"/>
      <c r="D525" s="110"/>
      <c r="E525" s="110"/>
      <c r="F525" s="110"/>
      <c r="G525" s="110"/>
      <c r="H525" s="110"/>
      <c r="I525" s="111"/>
      <c r="J525" s="111"/>
      <c r="K525" s="110"/>
    </row>
    <row r="526" spans="1:11" x14ac:dyDescent="0.25">
      <c r="A526" s="110"/>
      <c r="B526" s="110"/>
      <c r="C526" s="110"/>
      <c r="D526" s="110"/>
      <c r="E526" s="110"/>
      <c r="F526" s="110"/>
      <c r="G526" s="110"/>
      <c r="H526" s="110"/>
      <c r="I526" s="111"/>
      <c r="J526" s="111"/>
      <c r="K526" s="110"/>
    </row>
    <row r="527" spans="1:11" x14ac:dyDescent="0.25">
      <c r="A527" s="110"/>
      <c r="B527" s="110"/>
      <c r="C527" s="110"/>
      <c r="D527" s="110"/>
      <c r="E527" s="110"/>
      <c r="F527" s="110"/>
      <c r="G527" s="110"/>
      <c r="H527" s="110"/>
      <c r="I527" s="111"/>
      <c r="J527" s="111"/>
      <c r="K527" s="110"/>
    </row>
    <row r="528" spans="1:11" x14ac:dyDescent="0.25">
      <c r="A528" s="110"/>
      <c r="B528" s="110"/>
      <c r="C528" s="110"/>
      <c r="D528" s="110"/>
      <c r="E528" s="110"/>
      <c r="F528" s="110"/>
      <c r="G528" s="110"/>
      <c r="H528" s="110"/>
      <c r="I528" s="111"/>
      <c r="J528" s="111"/>
      <c r="K528" s="110"/>
    </row>
    <row r="529" spans="1:11" x14ac:dyDescent="0.25">
      <c r="A529" s="110"/>
      <c r="B529" s="110"/>
      <c r="C529" s="110"/>
      <c r="D529" s="110"/>
      <c r="E529" s="110"/>
      <c r="F529" s="110"/>
      <c r="G529" s="110"/>
      <c r="H529" s="110"/>
      <c r="I529" s="111"/>
      <c r="J529" s="111"/>
      <c r="K529" s="110"/>
    </row>
    <row r="530" spans="1:11" x14ac:dyDescent="0.25">
      <c r="A530" s="110"/>
      <c r="B530" s="110"/>
      <c r="C530" s="110"/>
      <c r="D530" s="110"/>
      <c r="E530" s="110"/>
      <c r="F530" s="110"/>
      <c r="G530" s="110"/>
      <c r="H530" s="110"/>
      <c r="I530" s="111"/>
      <c r="J530" s="111"/>
      <c r="K530" s="110"/>
    </row>
    <row r="531" spans="1:11" x14ac:dyDescent="0.25">
      <c r="A531" s="110"/>
      <c r="B531" s="110"/>
      <c r="C531" s="110"/>
      <c r="D531" s="110"/>
      <c r="E531" s="110"/>
      <c r="F531" s="110"/>
      <c r="G531" s="110"/>
      <c r="H531" s="110"/>
      <c r="I531" s="111"/>
      <c r="J531" s="111"/>
      <c r="K531" s="110"/>
    </row>
    <row r="532" spans="1:11" x14ac:dyDescent="0.25">
      <c r="A532" s="110"/>
      <c r="B532" s="110"/>
      <c r="C532" s="110"/>
      <c r="D532" s="110"/>
      <c r="E532" s="110"/>
      <c r="F532" s="110"/>
      <c r="G532" s="110"/>
      <c r="H532" s="110"/>
      <c r="I532" s="111"/>
      <c r="J532" s="111"/>
      <c r="K532" s="110"/>
    </row>
    <row r="533" spans="1:11" x14ac:dyDescent="0.25">
      <c r="A533" s="110"/>
      <c r="B533" s="110"/>
      <c r="C533" s="110"/>
      <c r="D533" s="110"/>
      <c r="E533" s="110"/>
      <c r="F533" s="110"/>
      <c r="G533" s="110"/>
      <c r="H533" s="110"/>
      <c r="I533" s="111"/>
      <c r="J533" s="111"/>
      <c r="K533" s="110"/>
    </row>
    <row r="534" spans="1:11" x14ac:dyDescent="0.25">
      <c r="A534" s="110"/>
      <c r="B534" s="110"/>
      <c r="C534" s="110"/>
      <c r="D534" s="110"/>
      <c r="E534" s="110"/>
      <c r="F534" s="110"/>
      <c r="G534" s="110"/>
      <c r="H534" s="110"/>
      <c r="I534" s="111"/>
      <c r="J534" s="111"/>
      <c r="K534" s="110"/>
    </row>
    <row r="535" spans="1:11" x14ac:dyDescent="0.25">
      <c r="A535" s="110"/>
      <c r="B535" s="110"/>
      <c r="C535" s="110"/>
      <c r="D535" s="110"/>
      <c r="E535" s="110"/>
      <c r="F535" s="110"/>
      <c r="G535" s="110"/>
      <c r="H535" s="110"/>
      <c r="I535" s="111"/>
      <c r="J535" s="111"/>
      <c r="K535" s="110"/>
    </row>
    <row r="536" spans="1:11" x14ac:dyDescent="0.25">
      <c r="A536" s="110"/>
      <c r="B536" s="110"/>
      <c r="C536" s="110"/>
      <c r="D536" s="110"/>
      <c r="E536" s="110"/>
      <c r="F536" s="110"/>
      <c r="G536" s="110"/>
      <c r="H536" s="110"/>
      <c r="I536" s="111"/>
      <c r="J536" s="111"/>
      <c r="K536" s="110"/>
    </row>
    <row r="537" spans="1:11" x14ac:dyDescent="0.25">
      <c r="A537" s="110"/>
      <c r="B537" s="110"/>
      <c r="C537" s="110"/>
      <c r="D537" s="110"/>
      <c r="E537" s="110"/>
      <c r="F537" s="110"/>
      <c r="G537" s="110"/>
      <c r="H537" s="110"/>
      <c r="I537" s="111"/>
      <c r="J537" s="111"/>
      <c r="K537" s="110"/>
    </row>
    <row r="538" spans="1:11" x14ac:dyDescent="0.25">
      <c r="A538" s="110"/>
      <c r="B538" s="110"/>
      <c r="C538" s="110"/>
      <c r="D538" s="110"/>
      <c r="E538" s="110"/>
      <c r="F538" s="110"/>
      <c r="G538" s="110"/>
      <c r="H538" s="110"/>
      <c r="I538" s="111"/>
      <c r="J538" s="111"/>
      <c r="K538" s="110"/>
    </row>
    <row r="539" spans="1:11" x14ac:dyDescent="0.25">
      <c r="A539" s="110"/>
      <c r="B539" s="110"/>
      <c r="C539" s="110"/>
      <c r="D539" s="110"/>
      <c r="E539" s="110"/>
      <c r="F539" s="110"/>
      <c r="G539" s="110"/>
      <c r="H539" s="110"/>
      <c r="I539" s="111"/>
      <c r="J539" s="111"/>
      <c r="K539" s="110"/>
    </row>
    <row r="540" spans="1:11" x14ac:dyDescent="0.25">
      <c r="A540" s="110"/>
      <c r="B540" s="110"/>
      <c r="C540" s="110"/>
      <c r="D540" s="110"/>
      <c r="E540" s="110"/>
      <c r="F540" s="110"/>
      <c r="G540" s="110"/>
      <c r="H540" s="110"/>
      <c r="I540" s="111"/>
      <c r="J540" s="111"/>
      <c r="K540" s="110"/>
    </row>
    <row r="541" spans="1:11" x14ac:dyDescent="0.25">
      <c r="A541" s="110"/>
      <c r="B541" s="110"/>
      <c r="C541" s="110"/>
      <c r="D541" s="110"/>
      <c r="E541" s="110"/>
      <c r="F541" s="110"/>
      <c r="G541" s="110"/>
      <c r="H541" s="110"/>
      <c r="I541" s="111"/>
      <c r="J541" s="111"/>
      <c r="K541" s="110"/>
    </row>
    <row r="542" spans="1:11" x14ac:dyDescent="0.25">
      <c r="A542" s="110"/>
      <c r="B542" s="110"/>
      <c r="C542" s="110"/>
      <c r="D542" s="110"/>
      <c r="E542" s="110"/>
      <c r="F542" s="110"/>
      <c r="G542" s="110"/>
      <c r="H542" s="110"/>
      <c r="I542" s="111"/>
      <c r="J542" s="111"/>
      <c r="K542" s="110"/>
    </row>
    <row r="543" spans="1:11" x14ac:dyDescent="0.25">
      <c r="A543" s="110"/>
      <c r="B543" s="110"/>
      <c r="C543" s="110"/>
      <c r="D543" s="110"/>
      <c r="E543" s="110"/>
      <c r="F543" s="110"/>
      <c r="G543" s="110"/>
      <c r="H543" s="110"/>
      <c r="I543" s="111"/>
      <c r="J543" s="111"/>
      <c r="K543" s="110"/>
    </row>
    <row r="544" spans="1:11" x14ac:dyDescent="0.25">
      <c r="A544" s="110"/>
      <c r="B544" s="110"/>
      <c r="C544" s="110"/>
      <c r="D544" s="110"/>
      <c r="E544" s="110"/>
      <c r="F544" s="110"/>
      <c r="G544" s="110"/>
      <c r="H544" s="110"/>
      <c r="I544" s="111"/>
      <c r="J544" s="111"/>
      <c r="K544" s="110"/>
    </row>
    <row r="545" spans="1:11" x14ac:dyDescent="0.25">
      <c r="A545" s="110"/>
      <c r="B545" s="110"/>
      <c r="C545" s="110"/>
      <c r="D545" s="110"/>
      <c r="E545" s="110"/>
      <c r="F545" s="110"/>
      <c r="G545" s="110"/>
      <c r="H545" s="110"/>
      <c r="I545" s="111"/>
      <c r="J545" s="111"/>
      <c r="K545" s="110"/>
    </row>
    <row r="546" spans="1:11" x14ac:dyDescent="0.25">
      <c r="A546" s="110"/>
      <c r="B546" s="110"/>
      <c r="C546" s="110"/>
      <c r="D546" s="110"/>
      <c r="E546" s="110"/>
      <c r="F546" s="110"/>
      <c r="G546" s="110"/>
      <c r="H546" s="110"/>
      <c r="I546" s="111"/>
      <c r="J546" s="111"/>
      <c r="K546" s="110"/>
    </row>
    <row r="547" spans="1:11" x14ac:dyDescent="0.25">
      <c r="A547" s="110"/>
      <c r="B547" s="110"/>
      <c r="C547" s="110"/>
      <c r="D547" s="110"/>
      <c r="E547" s="110"/>
      <c r="F547" s="110"/>
      <c r="G547" s="110"/>
      <c r="H547" s="110"/>
      <c r="I547" s="111"/>
      <c r="J547" s="111"/>
      <c r="K547" s="110"/>
    </row>
    <row r="548" spans="1:11" x14ac:dyDescent="0.25">
      <c r="A548" s="110"/>
      <c r="B548" s="110"/>
      <c r="C548" s="110"/>
      <c r="D548" s="110"/>
      <c r="E548" s="110"/>
      <c r="F548" s="110"/>
      <c r="G548" s="110"/>
      <c r="H548" s="110"/>
      <c r="I548" s="111"/>
      <c r="J548" s="111"/>
      <c r="K548" s="110"/>
    </row>
    <row r="549" spans="1:11" x14ac:dyDescent="0.25">
      <c r="A549" s="110"/>
      <c r="B549" s="110"/>
      <c r="C549" s="110"/>
      <c r="D549" s="110"/>
      <c r="E549" s="110"/>
      <c r="F549" s="110"/>
      <c r="G549" s="110"/>
      <c r="H549" s="110"/>
      <c r="I549" s="111"/>
      <c r="J549" s="111"/>
      <c r="K549" s="110"/>
    </row>
    <row r="550" spans="1:11" x14ac:dyDescent="0.25">
      <c r="A550" s="110"/>
      <c r="B550" s="110"/>
      <c r="C550" s="110"/>
      <c r="D550" s="110"/>
      <c r="E550" s="110"/>
      <c r="F550" s="110"/>
      <c r="G550" s="110"/>
      <c r="H550" s="110"/>
      <c r="I550" s="111"/>
      <c r="J550" s="111"/>
      <c r="K550" s="110"/>
    </row>
    <row r="551" spans="1:11" x14ac:dyDescent="0.25">
      <c r="A551" s="110"/>
      <c r="B551" s="110"/>
      <c r="C551" s="110"/>
      <c r="D551" s="110"/>
      <c r="E551" s="110"/>
      <c r="F551" s="110"/>
      <c r="G551" s="110"/>
      <c r="H551" s="110"/>
      <c r="I551" s="111"/>
      <c r="J551" s="111"/>
      <c r="K551" s="110"/>
    </row>
    <row r="552" spans="1:11" x14ac:dyDescent="0.25">
      <c r="A552" s="110"/>
      <c r="B552" s="110"/>
      <c r="C552" s="110"/>
      <c r="D552" s="110"/>
      <c r="E552" s="110"/>
      <c r="F552" s="110"/>
      <c r="G552" s="110"/>
      <c r="H552" s="110"/>
      <c r="I552" s="111"/>
      <c r="J552" s="111"/>
      <c r="K552" s="110"/>
    </row>
    <row r="553" spans="1:11" x14ac:dyDescent="0.25">
      <c r="A553" s="110"/>
      <c r="B553" s="110"/>
      <c r="C553" s="110"/>
      <c r="D553" s="110"/>
      <c r="E553" s="110"/>
      <c r="F553" s="110"/>
      <c r="G553" s="110"/>
      <c r="H553" s="110"/>
      <c r="I553" s="111"/>
      <c r="J553" s="111"/>
      <c r="K553" s="110"/>
    </row>
    <row r="554" spans="1:11" x14ac:dyDescent="0.25">
      <c r="A554" s="110"/>
      <c r="B554" s="110"/>
      <c r="C554" s="110"/>
      <c r="D554" s="110"/>
      <c r="E554" s="110"/>
      <c r="F554" s="110"/>
      <c r="G554" s="110"/>
      <c r="H554" s="110"/>
      <c r="I554" s="111"/>
      <c r="J554" s="111"/>
      <c r="K554" s="110"/>
    </row>
    <row r="555" spans="1:11" x14ac:dyDescent="0.25">
      <c r="A555" s="110"/>
      <c r="B555" s="110"/>
      <c r="C555" s="110"/>
      <c r="D555" s="110"/>
      <c r="E555" s="110"/>
      <c r="F555" s="110"/>
      <c r="G555" s="110"/>
      <c r="H555" s="110"/>
      <c r="I555" s="111"/>
      <c r="J555" s="111"/>
      <c r="K555" s="110"/>
    </row>
    <row r="556" spans="1:11" x14ac:dyDescent="0.25">
      <c r="A556" s="110"/>
      <c r="B556" s="110"/>
      <c r="C556" s="110"/>
      <c r="D556" s="110"/>
      <c r="E556" s="110"/>
      <c r="F556" s="110"/>
      <c r="G556" s="110"/>
      <c r="H556" s="110"/>
      <c r="I556" s="111"/>
      <c r="J556" s="111"/>
      <c r="K556" s="110"/>
    </row>
    <row r="557" spans="1:11" x14ac:dyDescent="0.25">
      <c r="A557" s="110"/>
      <c r="B557" s="110"/>
      <c r="C557" s="110"/>
      <c r="D557" s="110"/>
      <c r="E557" s="110"/>
      <c r="F557" s="110"/>
      <c r="G557" s="110"/>
      <c r="H557" s="110"/>
      <c r="I557" s="111"/>
      <c r="J557" s="111"/>
      <c r="K557" s="110"/>
    </row>
    <row r="558" spans="1:11" x14ac:dyDescent="0.25">
      <c r="A558" s="110"/>
      <c r="B558" s="110"/>
      <c r="C558" s="110"/>
      <c r="D558" s="110"/>
      <c r="E558" s="110"/>
      <c r="F558" s="110"/>
      <c r="G558" s="110"/>
      <c r="H558" s="110"/>
      <c r="I558" s="111"/>
      <c r="J558" s="111"/>
      <c r="K558" s="110"/>
    </row>
    <row r="559" spans="1:11" x14ac:dyDescent="0.25">
      <c r="A559" s="110"/>
      <c r="B559" s="110"/>
      <c r="C559" s="110"/>
      <c r="D559" s="110"/>
      <c r="E559" s="110"/>
      <c r="F559" s="110"/>
      <c r="G559" s="110"/>
      <c r="H559" s="110"/>
      <c r="I559" s="111"/>
      <c r="J559" s="111"/>
      <c r="K559" s="110"/>
    </row>
    <row r="560" spans="1:11" x14ac:dyDescent="0.25">
      <c r="A560" s="110"/>
      <c r="B560" s="110"/>
      <c r="C560" s="110"/>
      <c r="D560" s="110"/>
      <c r="E560" s="110"/>
      <c r="F560" s="110"/>
      <c r="G560" s="110"/>
      <c r="H560" s="110"/>
      <c r="I560" s="111"/>
      <c r="J560" s="111"/>
      <c r="K560" s="110"/>
    </row>
    <row r="561" spans="1:11" x14ac:dyDescent="0.25">
      <c r="A561" s="110"/>
      <c r="B561" s="110"/>
      <c r="C561" s="110"/>
      <c r="D561" s="110"/>
      <c r="E561" s="110"/>
      <c r="F561" s="110"/>
      <c r="G561" s="110"/>
      <c r="H561" s="110"/>
      <c r="I561" s="111"/>
      <c r="J561" s="111"/>
      <c r="K561" s="110"/>
    </row>
    <row r="562" spans="1:11" x14ac:dyDescent="0.25">
      <c r="A562" s="110"/>
      <c r="B562" s="110"/>
      <c r="C562" s="110"/>
      <c r="D562" s="110"/>
      <c r="E562" s="110"/>
      <c r="F562" s="110"/>
      <c r="G562" s="110"/>
      <c r="H562" s="110"/>
      <c r="I562" s="111"/>
      <c r="J562" s="111"/>
      <c r="K562" s="110"/>
    </row>
    <row r="563" spans="1:11" x14ac:dyDescent="0.25">
      <c r="A563" s="110"/>
      <c r="B563" s="110"/>
      <c r="C563" s="110"/>
      <c r="D563" s="110"/>
      <c r="E563" s="110"/>
      <c r="F563" s="110"/>
      <c r="G563" s="110"/>
      <c r="H563" s="110"/>
      <c r="I563" s="111"/>
      <c r="J563" s="111"/>
      <c r="K563" s="110"/>
    </row>
    <row r="564" spans="1:11" x14ac:dyDescent="0.25">
      <c r="A564" s="110"/>
      <c r="B564" s="110"/>
      <c r="C564" s="110"/>
      <c r="D564" s="110"/>
      <c r="E564" s="110"/>
      <c r="F564" s="110"/>
      <c r="G564" s="110"/>
      <c r="H564" s="110"/>
      <c r="I564" s="111"/>
      <c r="J564" s="111"/>
      <c r="K564" s="110"/>
    </row>
    <row r="565" spans="1:11" x14ac:dyDescent="0.25">
      <c r="A565" s="110"/>
      <c r="B565" s="110"/>
      <c r="C565" s="110"/>
      <c r="D565" s="110"/>
      <c r="E565" s="110"/>
      <c r="F565" s="110"/>
      <c r="G565" s="110"/>
      <c r="H565" s="110"/>
      <c r="I565" s="111"/>
      <c r="J565" s="111"/>
      <c r="K565" s="110"/>
    </row>
    <row r="566" spans="1:11" x14ac:dyDescent="0.25">
      <c r="A566" s="110"/>
      <c r="B566" s="110"/>
      <c r="C566" s="110"/>
      <c r="D566" s="110"/>
      <c r="E566" s="110"/>
      <c r="F566" s="110"/>
      <c r="G566" s="110"/>
      <c r="H566" s="110"/>
      <c r="I566" s="111"/>
      <c r="J566" s="111"/>
      <c r="K566" s="110"/>
    </row>
    <row r="567" spans="1:11" x14ac:dyDescent="0.25">
      <c r="A567" s="110"/>
      <c r="B567" s="110"/>
      <c r="C567" s="110"/>
      <c r="D567" s="110"/>
      <c r="E567" s="110"/>
      <c r="F567" s="110"/>
      <c r="G567" s="110"/>
      <c r="H567" s="110"/>
      <c r="I567" s="111"/>
      <c r="J567" s="111"/>
      <c r="K567" s="110"/>
    </row>
    <row r="568" spans="1:11" x14ac:dyDescent="0.25">
      <c r="A568" s="110"/>
      <c r="B568" s="110"/>
      <c r="C568" s="110"/>
      <c r="D568" s="110"/>
      <c r="E568" s="110"/>
      <c r="F568" s="110"/>
      <c r="G568" s="110"/>
      <c r="H568" s="110"/>
      <c r="I568" s="111"/>
      <c r="J568" s="111"/>
      <c r="K568" s="110"/>
    </row>
    <row r="569" spans="1:11" x14ac:dyDescent="0.25">
      <c r="A569" s="110"/>
      <c r="B569" s="110"/>
      <c r="C569" s="110"/>
      <c r="D569" s="110"/>
      <c r="E569" s="110"/>
      <c r="F569" s="110"/>
      <c r="G569" s="110"/>
      <c r="H569" s="110"/>
      <c r="I569" s="111"/>
      <c r="J569" s="111"/>
      <c r="K569" s="110"/>
    </row>
    <row r="570" spans="1:11" x14ac:dyDescent="0.25">
      <c r="A570" s="110"/>
      <c r="B570" s="110"/>
      <c r="C570" s="110"/>
      <c r="D570" s="110"/>
      <c r="E570" s="110"/>
      <c r="F570" s="110"/>
      <c r="G570" s="110"/>
      <c r="H570" s="110"/>
      <c r="I570" s="111"/>
      <c r="J570" s="111"/>
      <c r="K570" s="110"/>
    </row>
    <row r="571" spans="1:11" x14ac:dyDescent="0.25">
      <c r="A571" s="110"/>
      <c r="B571" s="110"/>
      <c r="C571" s="110"/>
      <c r="D571" s="110"/>
      <c r="E571" s="110"/>
      <c r="F571" s="110"/>
      <c r="G571" s="110"/>
      <c r="H571" s="110"/>
      <c r="I571" s="111"/>
      <c r="J571" s="111"/>
      <c r="K571" s="110"/>
    </row>
    <row r="572" spans="1:11" x14ac:dyDescent="0.25">
      <c r="A572" s="110"/>
      <c r="B572" s="110"/>
      <c r="C572" s="110"/>
      <c r="D572" s="110"/>
      <c r="E572" s="110"/>
      <c r="F572" s="110"/>
      <c r="G572" s="110"/>
      <c r="H572" s="110"/>
      <c r="I572" s="111"/>
      <c r="J572" s="111"/>
      <c r="K572" s="110"/>
    </row>
    <row r="573" spans="1:11" x14ac:dyDescent="0.25">
      <c r="A573" s="110"/>
      <c r="B573" s="110"/>
      <c r="C573" s="110"/>
      <c r="D573" s="110"/>
      <c r="E573" s="110"/>
      <c r="F573" s="110"/>
      <c r="G573" s="110"/>
      <c r="H573" s="110"/>
      <c r="I573" s="111"/>
      <c r="J573" s="111"/>
      <c r="K573" s="110"/>
    </row>
    <row r="574" spans="1:11" x14ac:dyDescent="0.25">
      <c r="A574" s="110"/>
      <c r="B574" s="110"/>
      <c r="C574" s="110"/>
      <c r="D574" s="110"/>
      <c r="E574" s="110"/>
      <c r="F574" s="110"/>
      <c r="G574" s="110"/>
      <c r="H574" s="110"/>
      <c r="I574" s="111"/>
      <c r="J574" s="111"/>
      <c r="K574" s="110"/>
    </row>
    <row r="575" spans="1:11" x14ac:dyDescent="0.25">
      <c r="A575" s="110"/>
      <c r="B575" s="110"/>
      <c r="C575" s="110"/>
      <c r="D575" s="110"/>
      <c r="E575" s="110"/>
      <c r="F575" s="110"/>
      <c r="G575" s="110"/>
      <c r="H575" s="110"/>
      <c r="I575" s="111"/>
      <c r="J575" s="111"/>
      <c r="K575" s="110"/>
    </row>
    <row r="576" spans="1:11" x14ac:dyDescent="0.25">
      <c r="A576" s="110"/>
      <c r="B576" s="110"/>
      <c r="C576" s="110"/>
      <c r="D576" s="110"/>
      <c r="E576" s="110"/>
      <c r="F576" s="110"/>
      <c r="G576" s="110"/>
      <c r="H576" s="110"/>
      <c r="I576" s="111"/>
      <c r="J576" s="111"/>
      <c r="K576" s="110"/>
    </row>
    <row r="577" spans="1:11" x14ac:dyDescent="0.25">
      <c r="A577" s="110"/>
      <c r="B577" s="110"/>
      <c r="C577" s="110"/>
      <c r="D577" s="110"/>
      <c r="E577" s="110"/>
      <c r="F577" s="110"/>
      <c r="G577" s="110"/>
      <c r="H577" s="110"/>
      <c r="I577" s="111"/>
      <c r="J577" s="111"/>
      <c r="K577" s="110"/>
    </row>
    <row r="578" spans="1:11" x14ac:dyDescent="0.25">
      <c r="A578" s="110"/>
      <c r="B578" s="110"/>
      <c r="C578" s="110"/>
      <c r="D578" s="110"/>
      <c r="E578" s="110"/>
      <c r="F578" s="110"/>
      <c r="G578" s="110"/>
      <c r="H578" s="110"/>
      <c r="I578" s="111"/>
      <c r="J578" s="111"/>
      <c r="K578" s="110"/>
    </row>
    <row r="579" spans="1:11" x14ac:dyDescent="0.25">
      <c r="A579" s="110"/>
      <c r="B579" s="110"/>
      <c r="C579" s="110"/>
      <c r="D579" s="110"/>
      <c r="E579" s="110"/>
      <c r="F579" s="110"/>
      <c r="G579" s="110"/>
      <c r="H579" s="110"/>
      <c r="I579" s="111"/>
      <c r="J579" s="111"/>
      <c r="K579" s="110"/>
    </row>
    <row r="580" spans="1:11" x14ac:dyDescent="0.25">
      <c r="A580" s="110"/>
      <c r="B580" s="110"/>
      <c r="C580" s="110"/>
      <c r="D580" s="110"/>
      <c r="E580" s="110"/>
      <c r="F580" s="110"/>
      <c r="G580" s="110"/>
      <c r="H580" s="110"/>
      <c r="I580" s="111"/>
      <c r="J580" s="111"/>
      <c r="K580" s="110"/>
    </row>
    <row r="581" spans="1:11" x14ac:dyDescent="0.25">
      <c r="A581" s="110"/>
      <c r="B581" s="110"/>
      <c r="C581" s="110"/>
      <c r="D581" s="110"/>
      <c r="E581" s="110"/>
      <c r="F581" s="110"/>
      <c r="G581" s="110"/>
      <c r="H581" s="110"/>
      <c r="I581" s="111"/>
      <c r="J581" s="111"/>
      <c r="K581" s="110"/>
    </row>
    <row r="582" spans="1:11" x14ac:dyDescent="0.25">
      <c r="A582" s="110"/>
      <c r="B582" s="110"/>
      <c r="C582" s="110"/>
      <c r="D582" s="110"/>
      <c r="E582" s="110"/>
      <c r="F582" s="110"/>
      <c r="G582" s="110"/>
      <c r="H582" s="110"/>
      <c r="I582" s="111"/>
      <c r="J582" s="111"/>
      <c r="K582" s="110"/>
    </row>
    <row r="583" spans="1:11" x14ac:dyDescent="0.25">
      <c r="A583" s="110"/>
      <c r="B583" s="110"/>
      <c r="C583" s="110"/>
      <c r="D583" s="110"/>
      <c r="E583" s="110"/>
      <c r="F583" s="110"/>
      <c r="G583" s="110"/>
      <c r="H583" s="110"/>
      <c r="I583" s="111"/>
      <c r="J583" s="111"/>
      <c r="K583" s="110"/>
    </row>
    <row r="584" spans="1:11" x14ac:dyDescent="0.25">
      <c r="A584" s="110"/>
      <c r="B584" s="110"/>
      <c r="C584" s="110"/>
      <c r="D584" s="110"/>
      <c r="E584" s="110"/>
      <c r="F584" s="110"/>
      <c r="G584" s="110"/>
      <c r="H584" s="110"/>
      <c r="I584" s="111"/>
      <c r="J584" s="111"/>
      <c r="K584" s="110"/>
    </row>
    <row r="585" spans="1:11" x14ac:dyDescent="0.25">
      <c r="A585" s="110"/>
      <c r="B585" s="110"/>
      <c r="C585" s="110"/>
      <c r="D585" s="110"/>
      <c r="E585" s="110"/>
      <c r="F585" s="110"/>
      <c r="G585" s="110"/>
      <c r="H585" s="110"/>
      <c r="I585" s="111"/>
      <c r="J585" s="111"/>
      <c r="K585" s="110"/>
    </row>
    <row r="586" spans="1:11" x14ac:dyDescent="0.25">
      <c r="A586" s="110"/>
      <c r="B586" s="110"/>
      <c r="C586" s="110"/>
      <c r="D586" s="110"/>
      <c r="E586" s="110"/>
      <c r="F586" s="110"/>
      <c r="G586" s="110"/>
      <c r="H586" s="110"/>
      <c r="I586" s="111"/>
      <c r="J586" s="111"/>
      <c r="K586" s="110"/>
    </row>
    <row r="587" spans="1:11" x14ac:dyDescent="0.25">
      <c r="A587" s="110"/>
      <c r="B587" s="110"/>
      <c r="C587" s="110"/>
      <c r="D587" s="110"/>
      <c r="E587" s="110"/>
      <c r="F587" s="110"/>
      <c r="G587" s="110"/>
      <c r="H587" s="110"/>
      <c r="I587" s="111"/>
      <c r="J587" s="111"/>
      <c r="K587" s="110"/>
    </row>
    <row r="588" spans="1:11" x14ac:dyDescent="0.25">
      <c r="A588" s="110"/>
      <c r="B588" s="110"/>
      <c r="C588" s="110"/>
      <c r="D588" s="110"/>
      <c r="E588" s="110"/>
      <c r="F588" s="110"/>
      <c r="G588" s="110"/>
      <c r="H588" s="110"/>
      <c r="I588" s="111"/>
      <c r="J588" s="111"/>
      <c r="K588" s="110"/>
    </row>
    <row r="589" spans="1:11" x14ac:dyDescent="0.25">
      <c r="A589" s="110"/>
      <c r="B589" s="110"/>
      <c r="C589" s="110"/>
      <c r="D589" s="110"/>
      <c r="E589" s="110"/>
      <c r="F589" s="110"/>
      <c r="G589" s="110"/>
      <c r="H589" s="110"/>
      <c r="I589" s="111"/>
      <c r="J589" s="111"/>
      <c r="K589" s="110"/>
    </row>
    <row r="590" spans="1:11" x14ac:dyDescent="0.25">
      <c r="A590" s="110"/>
      <c r="B590" s="110"/>
      <c r="C590" s="110"/>
      <c r="D590" s="110"/>
      <c r="E590" s="110"/>
      <c r="F590" s="110"/>
      <c r="G590" s="110"/>
      <c r="H590" s="110"/>
      <c r="I590" s="111"/>
      <c r="J590" s="111"/>
      <c r="K590" s="110"/>
    </row>
    <row r="591" spans="1:11" x14ac:dyDescent="0.25">
      <c r="A591" s="110"/>
      <c r="B591" s="110"/>
      <c r="C591" s="110"/>
      <c r="D591" s="110"/>
      <c r="E591" s="110"/>
      <c r="F591" s="110"/>
      <c r="G591" s="110"/>
      <c r="H591" s="110"/>
      <c r="I591" s="111"/>
      <c r="J591" s="111"/>
      <c r="K591" s="110"/>
    </row>
    <row r="592" spans="1:11" x14ac:dyDescent="0.25">
      <c r="A592" s="110"/>
      <c r="B592" s="110"/>
      <c r="C592" s="110"/>
      <c r="D592" s="110"/>
      <c r="E592" s="110"/>
      <c r="F592" s="110"/>
      <c r="G592" s="110"/>
      <c r="H592" s="110"/>
      <c r="I592" s="111"/>
      <c r="J592" s="111"/>
      <c r="K592" s="110"/>
    </row>
    <row r="593" spans="1:11" x14ac:dyDescent="0.25">
      <c r="A593" s="110"/>
      <c r="B593" s="110"/>
      <c r="C593" s="110"/>
      <c r="D593" s="110"/>
      <c r="E593" s="110"/>
      <c r="F593" s="110"/>
      <c r="G593" s="110"/>
      <c r="H593" s="110"/>
      <c r="I593" s="111"/>
      <c r="J593" s="111"/>
      <c r="K593" s="110"/>
    </row>
    <row r="594" spans="1:11" x14ac:dyDescent="0.25">
      <c r="A594" s="110"/>
      <c r="B594" s="110"/>
      <c r="C594" s="110"/>
      <c r="D594" s="110"/>
      <c r="E594" s="110"/>
      <c r="F594" s="110"/>
      <c r="G594" s="110"/>
      <c r="H594" s="110"/>
      <c r="I594" s="111"/>
      <c r="J594" s="111"/>
      <c r="K594" s="110"/>
    </row>
    <row r="595" spans="1:11" x14ac:dyDescent="0.25">
      <c r="A595" s="110"/>
      <c r="B595" s="110"/>
      <c r="C595" s="110"/>
      <c r="D595" s="110"/>
      <c r="E595" s="110"/>
      <c r="F595" s="110"/>
      <c r="G595" s="110"/>
      <c r="H595" s="110"/>
      <c r="I595" s="111"/>
      <c r="J595" s="111"/>
      <c r="K595" s="110"/>
    </row>
    <row r="596" spans="1:11" x14ac:dyDescent="0.25">
      <c r="A596" s="110"/>
      <c r="B596" s="110"/>
      <c r="C596" s="110"/>
      <c r="D596" s="110"/>
      <c r="E596" s="110"/>
      <c r="F596" s="110"/>
      <c r="G596" s="110"/>
      <c r="H596" s="110"/>
      <c r="I596" s="111"/>
      <c r="J596" s="111"/>
      <c r="K596" s="110"/>
    </row>
    <row r="597" spans="1:11" x14ac:dyDescent="0.25">
      <c r="A597" s="110"/>
      <c r="B597" s="110"/>
      <c r="C597" s="110"/>
      <c r="D597" s="110"/>
      <c r="E597" s="110"/>
      <c r="F597" s="110"/>
      <c r="G597" s="110"/>
      <c r="H597" s="110"/>
      <c r="I597" s="111"/>
      <c r="J597" s="111"/>
      <c r="K597" s="110"/>
    </row>
    <row r="598" spans="1:11" x14ac:dyDescent="0.25">
      <c r="A598" s="110"/>
      <c r="B598" s="110"/>
      <c r="C598" s="110"/>
      <c r="D598" s="110"/>
      <c r="E598" s="110"/>
      <c r="F598" s="110"/>
      <c r="G598" s="110"/>
      <c r="H598" s="110"/>
      <c r="I598" s="111"/>
      <c r="J598" s="111"/>
      <c r="K598" s="110"/>
    </row>
    <row r="599" spans="1:11" x14ac:dyDescent="0.25">
      <c r="A599" s="110"/>
      <c r="B599" s="110"/>
      <c r="C599" s="110"/>
      <c r="D599" s="110"/>
      <c r="E599" s="110"/>
      <c r="F599" s="110"/>
      <c r="G599" s="110"/>
      <c r="H599" s="110"/>
      <c r="I599" s="111"/>
      <c r="J599" s="111"/>
      <c r="K599" s="110"/>
    </row>
    <row r="600" spans="1:11" x14ac:dyDescent="0.25">
      <c r="A600" s="110"/>
      <c r="B600" s="110"/>
      <c r="C600" s="110"/>
      <c r="D600" s="110"/>
      <c r="E600" s="110"/>
      <c r="F600" s="110"/>
      <c r="G600" s="110"/>
      <c r="H600" s="110"/>
      <c r="I600" s="111"/>
      <c r="J600" s="111"/>
      <c r="K600" s="110"/>
    </row>
    <row r="601" spans="1:11" x14ac:dyDescent="0.25">
      <c r="A601" s="110"/>
      <c r="B601" s="110"/>
      <c r="C601" s="110"/>
      <c r="D601" s="110"/>
      <c r="E601" s="110"/>
      <c r="F601" s="110"/>
      <c r="G601" s="110"/>
      <c r="H601" s="110"/>
      <c r="I601" s="111"/>
      <c r="J601" s="111"/>
      <c r="K601" s="110"/>
    </row>
    <row r="602" spans="1:11" x14ac:dyDescent="0.25">
      <c r="A602" s="110"/>
      <c r="B602" s="110"/>
      <c r="C602" s="110"/>
      <c r="D602" s="110"/>
      <c r="E602" s="110"/>
      <c r="F602" s="110"/>
      <c r="G602" s="110"/>
      <c r="H602" s="110"/>
      <c r="I602" s="111"/>
      <c r="J602" s="111"/>
      <c r="K602" s="110"/>
    </row>
    <row r="603" spans="1:11" x14ac:dyDescent="0.25">
      <c r="A603" s="110"/>
      <c r="B603" s="110"/>
      <c r="C603" s="110"/>
      <c r="D603" s="110"/>
      <c r="E603" s="110"/>
      <c r="F603" s="110"/>
      <c r="G603" s="110"/>
      <c r="H603" s="110"/>
      <c r="I603" s="111"/>
      <c r="J603" s="111"/>
      <c r="K603" s="110"/>
    </row>
    <row r="604" spans="1:11" x14ac:dyDescent="0.25">
      <c r="A604" s="110"/>
      <c r="B604" s="110"/>
      <c r="C604" s="110"/>
      <c r="D604" s="110"/>
      <c r="E604" s="110"/>
      <c r="F604" s="110"/>
      <c r="G604" s="110"/>
      <c r="H604" s="110"/>
      <c r="I604" s="111"/>
      <c r="J604" s="111"/>
      <c r="K604" s="110"/>
    </row>
    <row r="605" spans="1:11" x14ac:dyDescent="0.25">
      <c r="A605" s="110"/>
      <c r="B605" s="110"/>
      <c r="C605" s="110"/>
      <c r="D605" s="110"/>
      <c r="E605" s="110"/>
      <c r="F605" s="110"/>
      <c r="G605" s="110"/>
      <c r="H605" s="110"/>
      <c r="I605" s="111"/>
      <c r="J605" s="111"/>
      <c r="K605" s="110"/>
    </row>
    <row r="606" spans="1:11" x14ac:dyDescent="0.25">
      <c r="A606" s="110"/>
      <c r="B606" s="110"/>
      <c r="C606" s="110"/>
      <c r="D606" s="110"/>
      <c r="E606" s="110"/>
      <c r="F606" s="110"/>
      <c r="G606" s="110"/>
      <c r="H606" s="110"/>
      <c r="I606" s="111"/>
      <c r="J606" s="111"/>
      <c r="K606" s="110"/>
    </row>
    <row r="607" spans="1:11" x14ac:dyDescent="0.25">
      <c r="A607" s="110"/>
      <c r="B607" s="110"/>
      <c r="C607" s="110"/>
      <c r="D607" s="110"/>
      <c r="E607" s="110"/>
      <c r="F607" s="110"/>
      <c r="G607" s="110"/>
      <c r="H607" s="110"/>
      <c r="I607" s="111"/>
      <c r="J607" s="111"/>
      <c r="K607" s="110"/>
    </row>
    <row r="608" spans="1:11" x14ac:dyDescent="0.25">
      <c r="A608" s="110"/>
      <c r="B608" s="110"/>
      <c r="C608" s="110"/>
      <c r="D608" s="110"/>
      <c r="E608" s="110"/>
      <c r="F608" s="110"/>
      <c r="G608" s="110"/>
      <c r="H608" s="110"/>
      <c r="I608" s="111"/>
      <c r="J608" s="111"/>
      <c r="K608" s="110"/>
    </row>
    <row r="609" spans="1:11" x14ac:dyDescent="0.25">
      <c r="A609" s="110"/>
      <c r="B609" s="110"/>
      <c r="C609" s="110"/>
      <c r="D609" s="110"/>
      <c r="E609" s="110"/>
      <c r="F609" s="110"/>
      <c r="G609" s="110"/>
      <c r="H609" s="110"/>
      <c r="I609" s="111"/>
      <c r="J609" s="111"/>
      <c r="K609" s="110"/>
    </row>
    <row r="610" spans="1:11" x14ac:dyDescent="0.25">
      <c r="A610" s="110"/>
      <c r="B610" s="110"/>
      <c r="C610" s="110"/>
      <c r="D610" s="110"/>
      <c r="E610" s="110"/>
      <c r="F610" s="110"/>
      <c r="G610" s="110"/>
      <c r="H610" s="110"/>
      <c r="I610" s="111"/>
      <c r="J610" s="111"/>
      <c r="K610" s="110"/>
    </row>
    <row r="611" spans="1:11" x14ac:dyDescent="0.25">
      <c r="A611" s="110"/>
      <c r="B611" s="110"/>
      <c r="C611" s="110"/>
      <c r="D611" s="110"/>
      <c r="E611" s="110"/>
      <c r="F611" s="110"/>
      <c r="G611" s="110"/>
      <c r="H611" s="110"/>
      <c r="I611" s="111"/>
      <c r="J611" s="111"/>
      <c r="K611" s="110"/>
    </row>
    <row r="612" spans="1:11" x14ac:dyDescent="0.25">
      <c r="A612" s="110"/>
      <c r="B612" s="110"/>
      <c r="C612" s="110"/>
      <c r="D612" s="110"/>
      <c r="E612" s="110"/>
      <c r="F612" s="110"/>
      <c r="G612" s="110"/>
      <c r="H612" s="110"/>
      <c r="I612" s="111"/>
      <c r="J612" s="111"/>
      <c r="K612" s="110"/>
    </row>
    <row r="613" spans="1:11" x14ac:dyDescent="0.25">
      <c r="A613" s="110"/>
      <c r="B613" s="110"/>
      <c r="C613" s="110"/>
      <c r="D613" s="110"/>
      <c r="E613" s="110"/>
      <c r="F613" s="110"/>
      <c r="G613" s="110"/>
      <c r="H613" s="110"/>
      <c r="I613" s="111"/>
      <c r="J613" s="111"/>
      <c r="K613" s="110"/>
    </row>
    <row r="614" spans="1:11" x14ac:dyDescent="0.25">
      <c r="A614" s="110"/>
      <c r="B614" s="110"/>
      <c r="C614" s="110"/>
      <c r="D614" s="110"/>
      <c r="E614" s="110"/>
      <c r="F614" s="110"/>
      <c r="G614" s="110"/>
      <c r="H614" s="110"/>
      <c r="I614" s="111"/>
      <c r="J614" s="111"/>
      <c r="K614" s="110"/>
    </row>
    <row r="615" spans="1:11" x14ac:dyDescent="0.25">
      <c r="A615" s="110"/>
      <c r="B615" s="110"/>
      <c r="C615" s="110"/>
      <c r="D615" s="110"/>
      <c r="E615" s="110"/>
      <c r="F615" s="110"/>
      <c r="G615" s="110"/>
      <c r="H615" s="110"/>
      <c r="I615" s="111"/>
      <c r="J615" s="111"/>
      <c r="K615" s="110"/>
    </row>
    <row r="616" spans="1:11" x14ac:dyDescent="0.25">
      <c r="A616" s="110"/>
      <c r="B616" s="110"/>
      <c r="C616" s="110"/>
      <c r="D616" s="110"/>
      <c r="E616" s="110"/>
      <c r="F616" s="110"/>
      <c r="G616" s="110"/>
      <c r="H616" s="110"/>
      <c r="I616" s="111"/>
      <c r="J616" s="111"/>
      <c r="K616" s="110"/>
    </row>
    <row r="617" spans="1:11" x14ac:dyDescent="0.25">
      <c r="A617" s="110"/>
      <c r="B617" s="110"/>
      <c r="C617" s="110"/>
      <c r="D617" s="110"/>
      <c r="E617" s="110"/>
      <c r="F617" s="110"/>
      <c r="G617" s="110"/>
      <c r="H617" s="110"/>
      <c r="I617" s="111"/>
      <c r="J617" s="111"/>
      <c r="K617" s="110"/>
    </row>
    <row r="618" spans="1:11" x14ac:dyDescent="0.25">
      <c r="A618" s="110"/>
      <c r="B618" s="110"/>
      <c r="C618" s="110"/>
      <c r="D618" s="110"/>
      <c r="E618" s="110"/>
      <c r="F618" s="110"/>
      <c r="G618" s="110"/>
      <c r="H618" s="110"/>
      <c r="I618" s="111"/>
      <c r="J618" s="111"/>
      <c r="K618" s="110"/>
    </row>
    <row r="619" spans="1:11" x14ac:dyDescent="0.25">
      <c r="A619" s="110"/>
      <c r="B619" s="110"/>
      <c r="C619" s="110"/>
      <c r="D619" s="110"/>
      <c r="E619" s="110"/>
      <c r="F619" s="110"/>
      <c r="G619" s="110"/>
      <c r="H619" s="110"/>
      <c r="I619" s="111"/>
      <c r="J619" s="111"/>
      <c r="K619" s="110"/>
    </row>
    <row r="620" spans="1:11" x14ac:dyDescent="0.25">
      <c r="A620" s="110"/>
      <c r="B620" s="110"/>
      <c r="C620" s="110"/>
      <c r="D620" s="110"/>
      <c r="E620" s="110"/>
      <c r="F620" s="110"/>
      <c r="G620" s="110"/>
      <c r="H620" s="110"/>
      <c r="I620" s="111"/>
      <c r="J620" s="111"/>
      <c r="K620" s="110"/>
    </row>
    <row r="621" spans="1:11" x14ac:dyDescent="0.25">
      <c r="A621" s="110"/>
      <c r="B621" s="110"/>
      <c r="C621" s="110"/>
      <c r="D621" s="110"/>
      <c r="E621" s="110"/>
      <c r="F621" s="110"/>
      <c r="G621" s="110"/>
      <c r="H621" s="110"/>
      <c r="I621" s="111"/>
      <c r="J621" s="111"/>
      <c r="K621" s="110"/>
    </row>
    <row r="622" spans="1:11" x14ac:dyDescent="0.25">
      <c r="A622" s="110"/>
      <c r="B622" s="110"/>
      <c r="C622" s="110"/>
      <c r="D622" s="110"/>
      <c r="E622" s="110"/>
      <c r="F622" s="110"/>
      <c r="G622" s="110"/>
      <c r="H622" s="110"/>
      <c r="I622" s="111"/>
      <c r="J622" s="111"/>
      <c r="K622" s="110"/>
    </row>
    <row r="623" spans="1:11" x14ac:dyDescent="0.25">
      <c r="A623" s="110"/>
      <c r="B623" s="110"/>
      <c r="C623" s="110"/>
      <c r="D623" s="110"/>
      <c r="E623" s="110"/>
      <c r="F623" s="110"/>
      <c r="G623" s="110"/>
      <c r="H623" s="110"/>
      <c r="I623" s="111"/>
      <c r="J623" s="111"/>
      <c r="K623" s="110"/>
    </row>
    <row r="624" spans="1:11" x14ac:dyDescent="0.25">
      <c r="A624" s="110"/>
      <c r="B624" s="110"/>
      <c r="C624" s="110"/>
      <c r="D624" s="110"/>
      <c r="E624" s="110"/>
      <c r="F624" s="110"/>
      <c r="G624" s="110"/>
      <c r="H624" s="110"/>
      <c r="I624" s="111"/>
      <c r="J624" s="111"/>
      <c r="K624" s="110"/>
    </row>
    <row r="625" spans="1:11" x14ac:dyDescent="0.25">
      <c r="A625" s="110"/>
      <c r="B625" s="110"/>
      <c r="C625" s="110"/>
      <c r="D625" s="110"/>
      <c r="E625" s="110"/>
      <c r="F625" s="110"/>
      <c r="G625" s="110"/>
      <c r="H625" s="110"/>
      <c r="I625" s="111"/>
      <c r="J625" s="111"/>
      <c r="K625" s="110"/>
    </row>
    <row r="626" spans="1:11" x14ac:dyDescent="0.25">
      <c r="A626" s="110"/>
      <c r="B626" s="110"/>
      <c r="C626" s="110"/>
      <c r="D626" s="110"/>
      <c r="E626" s="110"/>
      <c r="F626" s="110"/>
      <c r="G626" s="110"/>
      <c r="H626" s="110"/>
      <c r="I626" s="111"/>
      <c r="J626" s="111"/>
      <c r="K626" s="110"/>
    </row>
    <row r="627" spans="1:11" x14ac:dyDescent="0.25">
      <c r="A627" s="110"/>
      <c r="B627" s="110"/>
      <c r="C627" s="110"/>
      <c r="D627" s="110"/>
      <c r="E627" s="110"/>
      <c r="F627" s="110"/>
      <c r="G627" s="110"/>
      <c r="H627" s="110"/>
      <c r="I627" s="111"/>
      <c r="J627" s="111"/>
      <c r="K627" s="110"/>
    </row>
    <row r="628" spans="1:11" x14ac:dyDescent="0.25">
      <c r="A628" s="110"/>
      <c r="B628" s="110"/>
      <c r="C628" s="110"/>
      <c r="D628" s="110"/>
      <c r="E628" s="110"/>
      <c r="F628" s="110"/>
      <c r="G628" s="110"/>
      <c r="H628" s="110"/>
      <c r="I628" s="111"/>
      <c r="J628" s="111"/>
      <c r="K628" s="110"/>
    </row>
    <row r="629" spans="1:11" x14ac:dyDescent="0.25">
      <c r="A629" s="110"/>
      <c r="B629" s="110"/>
      <c r="C629" s="110"/>
      <c r="D629" s="110"/>
      <c r="E629" s="110"/>
      <c r="F629" s="110"/>
      <c r="G629" s="110"/>
      <c r="H629" s="110"/>
      <c r="I629" s="111"/>
      <c r="J629" s="111"/>
      <c r="K629" s="110"/>
    </row>
    <row r="630" spans="1:11" x14ac:dyDescent="0.25">
      <c r="A630" s="110"/>
      <c r="B630" s="110"/>
      <c r="C630" s="110"/>
      <c r="D630" s="110"/>
      <c r="E630" s="110"/>
      <c r="F630" s="110"/>
      <c r="G630" s="110"/>
      <c r="H630" s="110"/>
      <c r="I630" s="111"/>
      <c r="J630" s="111"/>
      <c r="K630" s="110"/>
    </row>
    <row r="631" spans="1:11" x14ac:dyDescent="0.25">
      <c r="A631" s="110"/>
      <c r="B631" s="110"/>
      <c r="C631" s="110"/>
      <c r="D631" s="110"/>
      <c r="E631" s="110"/>
      <c r="F631" s="110"/>
      <c r="G631" s="110"/>
      <c r="H631" s="110"/>
      <c r="I631" s="111"/>
      <c r="J631" s="111"/>
      <c r="K631" s="110"/>
    </row>
    <row r="632" spans="1:11" x14ac:dyDescent="0.25">
      <c r="A632" s="110"/>
      <c r="B632" s="110"/>
      <c r="C632" s="110"/>
      <c r="D632" s="110"/>
      <c r="E632" s="110"/>
      <c r="F632" s="110"/>
      <c r="G632" s="110"/>
      <c r="H632" s="110"/>
      <c r="I632" s="111"/>
      <c r="J632" s="111"/>
      <c r="K632" s="110"/>
    </row>
    <row r="633" spans="1:11" x14ac:dyDescent="0.25">
      <c r="A633" s="110"/>
      <c r="B633" s="110"/>
      <c r="C633" s="110"/>
      <c r="D633" s="110"/>
      <c r="E633" s="110"/>
      <c r="F633" s="110"/>
      <c r="G633" s="110"/>
      <c r="H633" s="110"/>
      <c r="I633" s="111"/>
      <c r="J633" s="111"/>
      <c r="K633" s="110"/>
    </row>
    <row r="634" spans="1:11" x14ac:dyDescent="0.25">
      <c r="A634" s="110"/>
      <c r="B634" s="110"/>
      <c r="C634" s="110"/>
      <c r="D634" s="110"/>
      <c r="E634" s="110"/>
      <c r="F634" s="110"/>
      <c r="G634" s="110"/>
      <c r="H634" s="110"/>
      <c r="I634" s="111"/>
      <c r="J634" s="111"/>
      <c r="K634" s="110"/>
    </row>
    <row r="635" spans="1:11" x14ac:dyDescent="0.25">
      <c r="A635" s="110"/>
      <c r="B635" s="110"/>
      <c r="C635" s="110"/>
      <c r="D635" s="110"/>
      <c r="E635" s="110"/>
      <c r="F635" s="110"/>
      <c r="G635" s="110"/>
      <c r="H635" s="110"/>
      <c r="I635" s="111"/>
      <c r="J635" s="111"/>
      <c r="K635" s="110"/>
    </row>
    <row r="636" spans="1:11" x14ac:dyDescent="0.25">
      <c r="A636" s="110"/>
      <c r="B636" s="110"/>
      <c r="C636" s="110"/>
      <c r="D636" s="110"/>
      <c r="E636" s="110"/>
      <c r="F636" s="110"/>
      <c r="G636" s="110"/>
      <c r="H636" s="110"/>
      <c r="I636" s="111"/>
      <c r="J636" s="111"/>
      <c r="K636" s="110"/>
    </row>
    <row r="637" spans="1:11" x14ac:dyDescent="0.25">
      <c r="A637" s="110"/>
      <c r="B637" s="110"/>
      <c r="C637" s="110"/>
      <c r="D637" s="110"/>
      <c r="E637" s="110"/>
      <c r="F637" s="110"/>
      <c r="G637" s="110"/>
      <c r="H637" s="110"/>
      <c r="I637" s="111"/>
      <c r="J637" s="111"/>
      <c r="K637" s="110"/>
    </row>
    <row r="638" spans="1:11" x14ac:dyDescent="0.25">
      <c r="A638" s="110"/>
      <c r="B638" s="110"/>
      <c r="C638" s="110"/>
      <c r="D638" s="110"/>
      <c r="E638" s="110"/>
      <c r="F638" s="110"/>
      <c r="G638" s="110"/>
      <c r="H638" s="110"/>
      <c r="I638" s="111"/>
      <c r="J638" s="111"/>
      <c r="K638" s="110"/>
    </row>
    <row r="639" spans="1:11" x14ac:dyDescent="0.25">
      <c r="A639" s="110"/>
      <c r="B639" s="110"/>
      <c r="C639" s="110"/>
      <c r="D639" s="110"/>
      <c r="E639" s="110"/>
      <c r="F639" s="110"/>
      <c r="G639" s="110"/>
      <c r="H639" s="110"/>
      <c r="I639" s="111"/>
      <c r="J639" s="111"/>
      <c r="K639" s="110"/>
    </row>
    <row r="640" spans="1:11" x14ac:dyDescent="0.25">
      <c r="A640" s="110"/>
      <c r="B640" s="110"/>
      <c r="C640" s="110"/>
      <c r="D640" s="110"/>
      <c r="E640" s="110"/>
      <c r="F640" s="110"/>
      <c r="G640" s="110"/>
      <c r="H640" s="110"/>
      <c r="I640" s="111"/>
      <c r="J640" s="111"/>
      <c r="K640" s="110"/>
    </row>
    <row r="641" spans="1:11" x14ac:dyDescent="0.25">
      <c r="A641" s="110"/>
      <c r="B641" s="110"/>
      <c r="C641" s="110"/>
      <c r="D641" s="110"/>
      <c r="E641" s="110"/>
      <c r="F641" s="110"/>
      <c r="G641" s="110"/>
      <c r="H641" s="110"/>
      <c r="I641" s="111"/>
      <c r="J641" s="111"/>
      <c r="K641" s="110"/>
    </row>
    <row r="642" spans="1:11" x14ac:dyDescent="0.25">
      <c r="A642" s="110"/>
      <c r="B642" s="110"/>
      <c r="C642" s="110"/>
      <c r="D642" s="110"/>
      <c r="E642" s="110"/>
      <c r="F642" s="110"/>
      <c r="G642" s="110"/>
      <c r="H642" s="110"/>
      <c r="I642" s="111"/>
      <c r="J642" s="111"/>
      <c r="K642" s="110"/>
    </row>
    <row r="643" spans="1:11" x14ac:dyDescent="0.25">
      <c r="A643" s="110"/>
      <c r="B643" s="110"/>
      <c r="C643" s="110"/>
      <c r="D643" s="110"/>
      <c r="E643" s="110"/>
      <c r="F643" s="110"/>
      <c r="G643" s="110"/>
      <c r="H643" s="110"/>
      <c r="I643" s="111"/>
      <c r="J643" s="111"/>
      <c r="K643" s="110"/>
    </row>
    <row r="644" spans="1:11" x14ac:dyDescent="0.25">
      <c r="A644" s="110"/>
      <c r="B644" s="110"/>
      <c r="C644" s="110"/>
      <c r="D644" s="110"/>
      <c r="E644" s="110"/>
      <c r="F644" s="110"/>
      <c r="G644" s="110"/>
      <c r="H644" s="110"/>
      <c r="I644" s="111"/>
      <c r="J644" s="111"/>
      <c r="K644" s="110"/>
    </row>
    <row r="645" spans="1:11" x14ac:dyDescent="0.25">
      <c r="A645" s="110"/>
      <c r="B645" s="110"/>
      <c r="C645" s="110"/>
      <c r="D645" s="110"/>
      <c r="E645" s="110"/>
      <c r="F645" s="110"/>
      <c r="G645" s="110"/>
      <c r="H645" s="110"/>
      <c r="I645" s="111"/>
      <c r="J645" s="111"/>
      <c r="K645" s="110"/>
    </row>
    <row r="646" spans="1:11" x14ac:dyDescent="0.25">
      <c r="A646" s="110"/>
      <c r="B646" s="110"/>
      <c r="C646" s="110"/>
      <c r="D646" s="110"/>
      <c r="E646" s="110"/>
      <c r="F646" s="110"/>
      <c r="G646" s="110"/>
      <c r="H646" s="110"/>
      <c r="I646" s="111"/>
      <c r="J646" s="111"/>
      <c r="K646" s="110"/>
    </row>
    <row r="647" spans="1:11" x14ac:dyDescent="0.25">
      <c r="A647" s="110"/>
      <c r="B647" s="110"/>
      <c r="C647" s="110"/>
      <c r="D647" s="110"/>
      <c r="E647" s="110"/>
      <c r="F647" s="110"/>
      <c r="G647" s="110"/>
      <c r="H647" s="110"/>
      <c r="I647" s="111"/>
      <c r="J647" s="111"/>
      <c r="K647" s="110"/>
    </row>
    <row r="648" spans="1:11" x14ac:dyDescent="0.25">
      <c r="A648" s="110"/>
      <c r="B648" s="110"/>
      <c r="C648" s="110"/>
      <c r="D648" s="110"/>
      <c r="E648" s="110"/>
      <c r="F648" s="110"/>
      <c r="G648" s="110"/>
      <c r="H648" s="110"/>
      <c r="I648" s="111"/>
      <c r="J648" s="111"/>
      <c r="K648" s="110"/>
    </row>
    <row r="649" spans="1:11" x14ac:dyDescent="0.25">
      <c r="A649" s="110"/>
      <c r="B649" s="110"/>
      <c r="C649" s="110"/>
      <c r="D649" s="110"/>
      <c r="E649" s="110"/>
      <c r="F649" s="110"/>
      <c r="G649" s="110"/>
      <c r="H649" s="110"/>
      <c r="I649" s="111"/>
      <c r="J649" s="111"/>
      <c r="K649" s="110"/>
    </row>
    <row r="650" spans="1:11" x14ac:dyDescent="0.25">
      <c r="A650" s="110"/>
      <c r="B650" s="110"/>
      <c r="C650" s="110"/>
      <c r="D650" s="110"/>
      <c r="E650" s="110"/>
      <c r="F650" s="110"/>
      <c r="G650" s="110"/>
      <c r="H650" s="110"/>
      <c r="I650" s="111"/>
      <c r="J650" s="111"/>
      <c r="K650" s="110"/>
    </row>
    <row r="651" spans="1:11" x14ac:dyDescent="0.25">
      <c r="A651" s="110"/>
      <c r="B651" s="110"/>
      <c r="C651" s="110"/>
      <c r="D651" s="110"/>
      <c r="E651" s="110"/>
      <c r="F651" s="110"/>
      <c r="G651" s="110"/>
      <c r="H651" s="110"/>
      <c r="I651" s="111"/>
      <c r="J651" s="111"/>
      <c r="K651" s="110"/>
    </row>
    <row r="652" spans="1:11" x14ac:dyDescent="0.25">
      <c r="A652" s="110"/>
      <c r="B652" s="110"/>
      <c r="C652" s="110"/>
      <c r="D652" s="110"/>
      <c r="E652" s="110"/>
      <c r="F652" s="110"/>
      <c r="G652" s="110"/>
      <c r="H652" s="110"/>
      <c r="I652" s="111"/>
      <c r="J652" s="111"/>
      <c r="K652" s="110"/>
    </row>
    <row r="653" spans="1:11" x14ac:dyDescent="0.25">
      <c r="A653" s="110"/>
      <c r="B653" s="110"/>
      <c r="C653" s="110"/>
      <c r="D653" s="110"/>
      <c r="E653" s="110"/>
      <c r="F653" s="110"/>
      <c r="G653" s="110"/>
      <c r="H653" s="110"/>
      <c r="I653" s="111"/>
      <c r="J653" s="111"/>
      <c r="K653" s="110"/>
    </row>
    <row r="654" spans="1:11" x14ac:dyDescent="0.25">
      <c r="A654" s="110"/>
      <c r="B654" s="110"/>
      <c r="C654" s="110"/>
      <c r="D654" s="110"/>
      <c r="E654" s="110"/>
      <c r="F654" s="110"/>
      <c r="G654" s="110"/>
      <c r="H654" s="110"/>
      <c r="I654" s="111"/>
      <c r="J654" s="111"/>
      <c r="K654" s="110"/>
    </row>
    <row r="655" spans="1:11" x14ac:dyDescent="0.25">
      <c r="A655" s="110"/>
      <c r="B655" s="110"/>
      <c r="C655" s="110"/>
      <c r="D655" s="110"/>
      <c r="E655" s="110"/>
      <c r="F655" s="110"/>
      <c r="G655" s="110"/>
      <c r="H655" s="110"/>
      <c r="I655" s="111"/>
      <c r="J655" s="111"/>
      <c r="K655" s="110"/>
    </row>
    <row r="656" spans="1:11" x14ac:dyDescent="0.25">
      <c r="A656" s="110"/>
      <c r="B656" s="110"/>
      <c r="C656" s="110"/>
      <c r="D656" s="110"/>
      <c r="E656" s="110"/>
      <c r="F656" s="110"/>
      <c r="G656" s="110"/>
      <c r="H656" s="110"/>
      <c r="I656" s="111"/>
      <c r="J656" s="111"/>
      <c r="K656" s="110"/>
    </row>
    <row r="657" spans="1:11" x14ac:dyDescent="0.25">
      <c r="A657" s="110"/>
      <c r="B657" s="110"/>
      <c r="C657" s="110"/>
      <c r="D657" s="110"/>
      <c r="E657" s="110"/>
      <c r="F657" s="110"/>
      <c r="G657" s="110"/>
      <c r="H657" s="110"/>
      <c r="I657" s="111"/>
      <c r="J657" s="111"/>
      <c r="K657" s="110"/>
    </row>
    <row r="658" spans="1:11" x14ac:dyDescent="0.25">
      <c r="A658" s="110"/>
      <c r="B658" s="110"/>
      <c r="C658" s="110"/>
      <c r="D658" s="110"/>
      <c r="E658" s="110"/>
      <c r="F658" s="110"/>
      <c r="G658" s="110"/>
      <c r="H658" s="110"/>
      <c r="I658" s="111"/>
      <c r="J658" s="111"/>
      <c r="K658" s="110"/>
    </row>
    <row r="659" spans="1:11" x14ac:dyDescent="0.25">
      <c r="A659" s="110"/>
      <c r="B659" s="110"/>
      <c r="C659" s="110"/>
      <c r="D659" s="110"/>
      <c r="E659" s="110"/>
      <c r="F659" s="110"/>
      <c r="G659" s="110"/>
      <c r="H659" s="110"/>
      <c r="I659" s="111"/>
      <c r="J659" s="111"/>
      <c r="K659" s="110"/>
    </row>
    <row r="660" spans="1:11" x14ac:dyDescent="0.25">
      <c r="A660" s="110"/>
      <c r="B660" s="110"/>
      <c r="C660" s="110"/>
      <c r="D660" s="110"/>
      <c r="E660" s="110"/>
      <c r="F660" s="110"/>
      <c r="G660" s="110"/>
      <c r="H660" s="110"/>
      <c r="I660" s="111"/>
      <c r="J660" s="111"/>
      <c r="K660" s="110"/>
    </row>
    <row r="661" spans="1:11" x14ac:dyDescent="0.25">
      <c r="A661" s="110"/>
      <c r="B661" s="110"/>
      <c r="C661" s="110"/>
      <c r="D661" s="110"/>
      <c r="E661" s="110"/>
      <c r="F661" s="110"/>
      <c r="G661" s="110"/>
      <c r="H661" s="110"/>
      <c r="I661" s="111"/>
      <c r="J661" s="111"/>
      <c r="K661" s="110"/>
    </row>
    <row r="662" spans="1:11" x14ac:dyDescent="0.25">
      <c r="A662" s="110"/>
      <c r="B662" s="110"/>
      <c r="C662" s="110"/>
      <c r="D662" s="110"/>
      <c r="E662" s="110"/>
      <c r="F662" s="110"/>
      <c r="G662" s="110"/>
      <c r="H662" s="110"/>
      <c r="I662" s="111"/>
      <c r="J662" s="111"/>
      <c r="K662" s="110"/>
    </row>
    <row r="663" spans="1:11" x14ac:dyDescent="0.25">
      <c r="A663" s="110"/>
      <c r="B663" s="110"/>
      <c r="C663" s="110"/>
      <c r="D663" s="110"/>
      <c r="E663" s="110"/>
      <c r="F663" s="110"/>
      <c r="G663" s="110"/>
      <c r="H663" s="110"/>
      <c r="I663" s="111"/>
      <c r="J663" s="111"/>
      <c r="K663" s="110"/>
    </row>
    <row r="664" spans="1:11" x14ac:dyDescent="0.25">
      <c r="A664" s="110"/>
      <c r="B664" s="110"/>
      <c r="C664" s="110"/>
      <c r="D664" s="110"/>
      <c r="E664" s="110"/>
      <c r="F664" s="110"/>
      <c r="G664" s="110"/>
      <c r="H664" s="110"/>
      <c r="I664" s="111"/>
      <c r="J664" s="111"/>
      <c r="K664" s="110"/>
    </row>
    <row r="665" spans="1:11" x14ac:dyDescent="0.25">
      <c r="A665" s="110"/>
      <c r="B665" s="110"/>
      <c r="C665" s="110"/>
      <c r="D665" s="110"/>
      <c r="E665" s="110"/>
      <c r="F665" s="110"/>
      <c r="G665" s="110"/>
      <c r="H665" s="110"/>
      <c r="I665" s="111"/>
      <c r="J665" s="111"/>
      <c r="K665" s="110"/>
    </row>
    <row r="666" spans="1:11" x14ac:dyDescent="0.25">
      <c r="A666" s="110"/>
      <c r="B666" s="110"/>
      <c r="C666" s="110"/>
      <c r="D666" s="110"/>
      <c r="E666" s="110"/>
      <c r="F666" s="110"/>
      <c r="G666" s="110"/>
      <c r="H666" s="110"/>
      <c r="I666" s="111"/>
      <c r="J666" s="111"/>
      <c r="K666" s="110"/>
    </row>
    <row r="667" spans="1:11" x14ac:dyDescent="0.25">
      <c r="A667" s="110"/>
      <c r="B667" s="110"/>
      <c r="C667" s="110"/>
      <c r="D667" s="110"/>
      <c r="E667" s="110"/>
      <c r="F667" s="110"/>
      <c r="G667" s="110"/>
      <c r="H667" s="110"/>
      <c r="I667" s="111"/>
      <c r="J667" s="111"/>
      <c r="K667" s="110"/>
    </row>
    <row r="668" spans="1:11" x14ac:dyDescent="0.25">
      <c r="A668" s="110"/>
      <c r="B668" s="110"/>
      <c r="C668" s="110"/>
      <c r="D668" s="110"/>
      <c r="E668" s="110"/>
      <c r="F668" s="110"/>
      <c r="G668" s="110"/>
      <c r="H668" s="110"/>
      <c r="I668" s="111"/>
      <c r="J668" s="111"/>
      <c r="K668" s="110"/>
    </row>
    <row r="669" spans="1:11" x14ac:dyDescent="0.25">
      <c r="A669" s="110"/>
      <c r="B669" s="110"/>
      <c r="C669" s="110"/>
      <c r="D669" s="110"/>
      <c r="E669" s="110"/>
      <c r="F669" s="110"/>
      <c r="G669" s="110"/>
      <c r="H669" s="110"/>
      <c r="I669" s="111"/>
      <c r="J669" s="111"/>
      <c r="K669" s="110"/>
    </row>
    <row r="670" spans="1:11" x14ac:dyDescent="0.25">
      <c r="A670" s="110"/>
      <c r="B670" s="110"/>
      <c r="C670" s="110"/>
      <c r="D670" s="110"/>
      <c r="E670" s="110"/>
      <c r="F670" s="110"/>
      <c r="G670" s="110"/>
      <c r="H670" s="110"/>
      <c r="I670" s="111"/>
      <c r="J670" s="111"/>
      <c r="K670" s="110"/>
    </row>
    <row r="671" spans="1:11" x14ac:dyDescent="0.25">
      <c r="A671" s="110"/>
      <c r="B671" s="110"/>
      <c r="C671" s="110"/>
      <c r="D671" s="110"/>
      <c r="E671" s="110"/>
      <c r="F671" s="110"/>
      <c r="G671" s="110"/>
      <c r="H671" s="110"/>
      <c r="I671" s="111"/>
      <c r="J671" s="111"/>
      <c r="K671" s="110"/>
    </row>
    <row r="672" spans="1:11" x14ac:dyDescent="0.25">
      <c r="A672" s="110"/>
      <c r="B672" s="110"/>
      <c r="C672" s="110"/>
      <c r="D672" s="110"/>
      <c r="E672" s="110"/>
      <c r="F672" s="110"/>
      <c r="G672" s="110"/>
      <c r="H672" s="110"/>
      <c r="I672" s="111"/>
      <c r="J672" s="111"/>
      <c r="K672" s="110"/>
    </row>
    <row r="673" spans="1:11" x14ac:dyDescent="0.25">
      <c r="A673" s="110"/>
      <c r="B673" s="110"/>
      <c r="C673" s="110"/>
      <c r="D673" s="110"/>
      <c r="E673" s="110"/>
      <c r="F673" s="110"/>
      <c r="G673" s="110"/>
      <c r="H673" s="110"/>
      <c r="I673" s="111"/>
      <c r="J673" s="111"/>
      <c r="K673" s="110"/>
    </row>
    <row r="674" spans="1:11" x14ac:dyDescent="0.25">
      <c r="A674" s="110"/>
      <c r="B674" s="110"/>
      <c r="C674" s="110"/>
      <c r="D674" s="110"/>
      <c r="E674" s="110"/>
      <c r="F674" s="110"/>
      <c r="G674" s="110"/>
      <c r="H674" s="110"/>
      <c r="I674" s="111"/>
      <c r="J674" s="111"/>
      <c r="K674" s="110"/>
    </row>
    <row r="675" spans="1:11" x14ac:dyDescent="0.25">
      <c r="A675" s="110"/>
      <c r="B675" s="110"/>
      <c r="C675" s="110"/>
      <c r="D675" s="110"/>
      <c r="E675" s="110"/>
      <c r="F675" s="110"/>
      <c r="G675" s="110"/>
      <c r="H675" s="110"/>
      <c r="I675" s="111"/>
      <c r="J675" s="111"/>
      <c r="K675" s="110"/>
    </row>
    <row r="676" spans="1:11" x14ac:dyDescent="0.25">
      <c r="A676" s="110"/>
      <c r="B676" s="110"/>
      <c r="C676" s="110"/>
      <c r="D676" s="110"/>
      <c r="E676" s="110"/>
      <c r="F676" s="110"/>
      <c r="G676" s="110"/>
      <c r="H676" s="110"/>
      <c r="I676" s="111"/>
      <c r="J676" s="111"/>
      <c r="K676" s="110"/>
    </row>
    <row r="677" spans="1:11" x14ac:dyDescent="0.25">
      <c r="A677" s="110"/>
      <c r="B677" s="110"/>
      <c r="C677" s="110"/>
      <c r="D677" s="110"/>
      <c r="E677" s="110"/>
      <c r="F677" s="110"/>
      <c r="G677" s="110"/>
      <c r="H677" s="110"/>
      <c r="I677" s="111"/>
      <c r="J677" s="111"/>
      <c r="K677" s="110"/>
    </row>
    <row r="678" spans="1:11" x14ac:dyDescent="0.25">
      <c r="A678" s="110"/>
      <c r="B678" s="110"/>
      <c r="C678" s="110"/>
      <c r="D678" s="110"/>
      <c r="E678" s="110"/>
      <c r="F678" s="110"/>
      <c r="G678" s="110"/>
      <c r="H678" s="110"/>
      <c r="I678" s="111"/>
      <c r="J678" s="111"/>
      <c r="K678" s="110"/>
    </row>
    <row r="679" spans="1:11" x14ac:dyDescent="0.25">
      <c r="A679" s="110"/>
      <c r="B679" s="110"/>
      <c r="C679" s="110"/>
      <c r="D679" s="110"/>
      <c r="E679" s="110"/>
      <c r="F679" s="110"/>
      <c r="G679" s="110"/>
      <c r="H679" s="110"/>
      <c r="I679" s="111"/>
      <c r="J679" s="111"/>
      <c r="K679" s="110"/>
    </row>
    <row r="680" spans="1:11" x14ac:dyDescent="0.25">
      <c r="A680" s="110"/>
      <c r="B680" s="110"/>
      <c r="C680" s="110"/>
      <c r="D680" s="110"/>
      <c r="E680" s="110"/>
      <c r="F680" s="110"/>
      <c r="G680" s="110"/>
      <c r="H680" s="110"/>
      <c r="I680" s="111"/>
      <c r="J680" s="111"/>
      <c r="K680" s="110"/>
    </row>
    <row r="681" spans="1:11" x14ac:dyDescent="0.25">
      <c r="A681" s="110"/>
      <c r="B681" s="110"/>
      <c r="C681" s="110"/>
      <c r="D681" s="110"/>
      <c r="E681" s="110"/>
      <c r="F681" s="110"/>
      <c r="G681" s="110"/>
      <c r="H681" s="110"/>
      <c r="I681" s="111"/>
      <c r="J681" s="111"/>
      <c r="K681" s="110"/>
    </row>
    <row r="682" spans="1:11" x14ac:dyDescent="0.25">
      <c r="A682" s="110"/>
      <c r="B682" s="110"/>
      <c r="C682" s="110"/>
      <c r="D682" s="110"/>
      <c r="E682" s="110"/>
      <c r="F682" s="110"/>
      <c r="G682" s="110"/>
      <c r="H682" s="110"/>
      <c r="I682" s="111"/>
      <c r="J682" s="111"/>
      <c r="K682" s="110"/>
    </row>
    <row r="683" spans="1:11" x14ac:dyDescent="0.25">
      <c r="A683" s="110"/>
      <c r="B683" s="110"/>
      <c r="C683" s="110"/>
      <c r="D683" s="110"/>
      <c r="E683" s="110"/>
      <c r="F683" s="110"/>
      <c r="G683" s="110"/>
      <c r="H683" s="110"/>
      <c r="I683" s="111"/>
      <c r="J683" s="111"/>
      <c r="K683" s="110"/>
    </row>
    <row r="684" spans="1:11" x14ac:dyDescent="0.25">
      <c r="A684" s="110"/>
      <c r="B684" s="110"/>
      <c r="C684" s="110"/>
      <c r="D684" s="110"/>
      <c r="E684" s="110"/>
      <c r="F684" s="110"/>
      <c r="G684" s="110"/>
      <c r="H684" s="110"/>
      <c r="I684" s="111"/>
      <c r="J684" s="111"/>
      <c r="K684" s="110"/>
    </row>
    <row r="685" spans="1:11" x14ac:dyDescent="0.25">
      <c r="A685" s="110"/>
      <c r="B685" s="110"/>
      <c r="C685" s="110"/>
      <c r="D685" s="110"/>
      <c r="E685" s="110"/>
      <c r="F685" s="110"/>
      <c r="G685" s="110"/>
      <c r="H685" s="110"/>
      <c r="I685" s="111"/>
      <c r="J685" s="111"/>
      <c r="K685" s="110"/>
    </row>
    <row r="686" spans="1:11" x14ac:dyDescent="0.25">
      <c r="A686" s="110"/>
      <c r="B686" s="110"/>
      <c r="C686" s="110"/>
      <c r="D686" s="110"/>
      <c r="E686" s="110"/>
      <c r="F686" s="110"/>
      <c r="G686" s="110"/>
      <c r="H686" s="110"/>
      <c r="I686" s="111"/>
      <c r="J686" s="111"/>
      <c r="K686" s="110"/>
    </row>
    <row r="687" spans="1:11" x14ac:dyDescent="0.25">
      <c r="A687" s="110"/>
      <c r="B687" s="110"/>
      <c r="C687" s="110"/>
      <c r="D687" s="110"/>
      <c r="E687" s="110"/>
      <c r="F687" s="110"/>
      <c r="G687" s="110"/>
      <c r="H687" s="110"/>
      <c r="I687" s="111"/>
      <c r="J687" s="111"/>
      <c r="K687" s="110"/>
    </row>
    <row r="688" spans="1:11" x14ac:dyDescent="0.25">
      <c r="A688" s="110"/>
      <c r="B688" s="110"/>
      <c r="C688" s="110"/>
      <c r="D688" s="110"/>
      <c r="E688" s="110"/>
      <c r="F688" s="110"/>
      <c r="G688" s="110"/>
      <c r="H688" s="110"/>
      <c r="I688" s="111"/>
      <c r="J688" s="111"/>
      <c r="K688" s="110"/>
    </row>
    <row r="689" spans="1:11" x14ac:dyDescent="0.25">
      <c r="A689" s="110"/>
      <c r="B689" s="110"/>
      <c r="C689" s="110"/>
      <c r="D689" s="110"/>
      <c r="E689" s="110"/>
      <c r="F689" s="110"/>
      <c r="G689" s="110"/>
      <c r="H689" s="110"/>
      <c r="I689" s="111"/>
      <c r="J689" s="111"/>
      <c r="K689" s="110"/>
    </row>
  </sheetData>
  <sheetProtection algorithmName="SHA-512" hashValue="zDQWZBHoyZGPExqlJ3WzLIfCKqukxONqechtn25JDoFAeAeAktPpoHRzO4qEMHfkPmGEIsatnznPp4omzrHKSg==" saltValue="CPmsA1pEtPzRktc1z+tBhQ==" spinCount="100000" sheet="1" objects="1" scenarios="1" selectLockedCells="1"/>
  <protectedRanges>
    <protectedRange sqref="D23:J23" name="Range1"/>
  </protectedRanges>
  <mergeCells count="301">
    <mergeCell ref="O444:W457"/>
    <mergeCell ref="D457:H458"/>
    <mergeCell ref="B441:J443"/>
    <mergeCell ref="C445:I454"/>
    <mergeCell ref="E455:G456"/>
    <mergeCell ref="B7:J7"/>
    <mergeCell ref="C62:J67"/>
    <mergeCell ref="C61:J61"/>
    <mergeCell ref="D307:I307"/>
    <mergeCell ref="B331:H331"/>
    <mergeCell ref="B333:G333"/>
    <mergeCell ref="C335:H335"/>
    <mergeCell ref="I341:J341"/>
    <mergeCell ref="B345:H345"/>
    <mergeCell ref="B279:F279"/>
    <mergeCell ref="C281:G281"/>
    <mergeCell ref="C283:G283"/>
    <mergeCell ref="D285:H285"/>
    <mergeCell ref="C297:F297"/>
    <mergeCell ref="B299:I299"/>
    <mergeCell ref="C301:H301"/>
    <mergeCell ref="C303:H303"/>
    <mergeCell ref="C305:H305"/>
    <mergeCell ref="I333:J333"/>
    <mergeCell ref="I337:J337"/>
    <mergeCell ref="I339:J339"/>
    <mergeCell ref="H343:J343"/>
    <mergeCell ref="B321:G321"/>
    <mergeCell ref="B323:G323"/>
    <mergeCell ref="F433:G433"/>
    <mergeCell ref="F435:G435"/>
    <mergeCell ref="F415:G415"/>
    <mergeCell ref="F417:G417"/>
    <mergeCell ref="F419:G419"/>
    <mergeCell ref="B421:D421"/>
    <mergeCell ref="C435:D435"/>
    <mergeCell ref="C433:D433"/>
    <mergeCell ref="C431:D431"/>
    <mergeCell ref="C429:D429"/>
    <mergeCell ref="C427:D427"/>
    <mergeCell ref="C425:D425"/>
    <mergeCell ref="C423:D423"/>
    <mergeCell ref="F423:G423"/>
    <mergeCell ref="F425:G425"/>
    <mergeCell ref="F427:G427"/>
    <mergeCell ref="F429:G429"/>
    <mergeCell ref="F431:G431"/>
    <mergeCell ref="F407:G407"/>
    <mergeCell ref="F409:G409"/>
    <mergeCell ref="F411:G411"/>
    <mergeCell ref="F413:G413"/>
    <mergeCell ref="B403:D403"/>
    <mergeCell ref="C419:D419"/>
    <mergeCell ref="C417:D417"/>
    <mergeCell ref="C415:D415"/>
    <mergeCell ref="C413:D413"/>
    <mergeCell ref="C411:D411"/>
    <mergeCell ref="C409:D409"/>
    <mergeCell ref="C407:D407"/>
    <mergeCell ref="C405:D405"/>
    <mergeCell ref="F405:G405"/>
    <mergeCell ref="C395:D395"/>
    <mergeCell ref="C397:D397"/>
    <mergeCell ref="C399:D399"/>
    <mergeCell ref="C401:D401"/>
    <mergeCell ref="F395:G395"/>
    <mergeCell ref="F397:G397"/>
    <mergeCell ref="F399:G399"/>
    <mergeCell ref="F401:G401"/>
    <mergeCell ref="F387:G387"/>
    <mergeCell ref="F389:G389"/>
    <mergeCell ref="F391:G391"/>
    <mergeCell ref="B393:D393"/>
    <mergeCell ref="B383:D383"/>
    <mergeCell ref="C391:D391"/>
    <mergeCell ref="C389:D389"/>
    <mergeCell ref="C387:D387"/>
    <mergeCell ref="C385:D385"/>
    <mergeCell ref="B380:J380"/>
    <mergeCell ref="B381:J381"/>
    <mergeCell ref="F385:G385"/>
    <mergeCell ref="B329:G329"/>
    <mergeCell ref="I329:J329"/>
    <mergeCell ref="I376:J376"/>
    <mergeCell ref="C337:G337"/>
    <mergeCell ref="C339:G339"/>
    <mergeCell ref="C341:G341"/>
    <mergeCell ref="B343:E343"/>
    <mergeCell ref="D376:G376"/>
    <mergeCell ref="B325:G325"/>
    <mergeCell ref="I321:J321"/>
    <mergeCell ref="I323:J323"/>
    <mergeCell ref="I325:J325"/>
    <mergeCell ref="I370:J370"/>
    <mergeCell ref="I372:J372"/>
    <mergeCell ref="I374:J374"/>
    <mergeCell ref="B368:J368"/>
    <mergeCell ref="C370:H370"/>
    <mergeCell ref="C372:H372"/>
    <mergeCell ref="C374:H374"/>
    <mergeCell ref="C349:D349"/>
    <mergeCell ref="C351:D351"/>
    <mergeCell ref="C353:D353"/>
    <mergeCell ref="C355:D355"/>
    <mergeCell ref="C357:D357"/>
    <mergeCell ref="C359:D359"/>
    <mergeCell ref="B327:G327"/>
    <mergeCell ref="I327:J327"/>
    <mergeCell ref="I309:J309"/>
    <mergeCell ref="I313:J313"/>
    <mergeCell ref="B319:I319"/>
    <mergeCell ref="B309:G309"/>
    <mergeCell ref="B311:G311"/>
    <mergeCell ref="C313:G313"/>
    <mergeCell ref="C315:G315"/>
    <mergeCell ref="I315:J315"/>
    <mergeCell ref="I317:J317"/>
    <mergeCell ref="C317:H317"/>
    <mergeCell ref="H297:J297"/>
    <mergeCell ref="I291:J291"/>
    <mergeCell ref="I293:J293"/>
    <mergeCell ref="I295:J295"/>
    <mergeCell ref="B287:J287"/>
    <mergeCell ref="B289:J289"/>
    <mergeCell ref="C291:G291"/>
    <mergeCell ref="C293:G293"/>
    <mergeCell ref="C295:G295"/>
    <mergeCell ref="I281:J281"/>
    <mergeCell ref="I283:J283"/>
    <mergeCell ref="I285:J285"/>
    <mergeCell ref="C271:G271"/>
    <mergeCell ref="C273:G273"/>
    <mergeCell ref="C275:G275"/>
    <mergeCell ref="I271:J271"/>
    <mergeCell ref="I273:J273"/>
    <mergeCell ref="I260:J260"/>
    <mergeCell ref="I262:J262"/>
    <mergeCell ref="B265:J265"/>
    <mergeCell ref="B267:H267"/>
    <mergeCell ref="I267:J267"/>
    <mergeCell ref="B269:H269"/>
    <mergeCell ref="I275:J275"/>
    <mergeCell ref="I277:J277"/>
    <mergeCell ref="B277:G277"/>
    <mergeCell ref="D40:E40"/>
    <mergeCell ref="F40:G40"/>
    <mergeCell ref="H40:I40"/>
    <mergeCell ref="C258:G258"/>
    <mergeCell ref="C260:G260"/>
    <mergeCell ref="D262:H262"/>
    <mergeCell ref="B246:G246"/>
    <mergeCell ref="I246:J246"/>
    <mergeCell ref="C250:G250"/>
    <mergeCell ref="I250:J250"/>
    <mergeCell ref="C252:G252"/>
    <mergeCell ref="I252:J252"/>
    <mergeCell ref="I254:J254"/>
    <mergeCell ref="I258:J258"/>
    <mergeCell ref="B248:F248"/>
    <mergeCell ref="C48:D48"/>
    <mergeCell ref="C46:D46"/>
    <mergeCell ref="I91:J91"/>
    <mergeCell ref="I93:J93"/>
    <mergeCell ref="B71:G76"/>
    <mergeCell ref="I110:J110"/>
    <mergeCell ref="I112:J112"/>
    <mergeCell ref="B45:J45"/>
    <mergeCell ref="D41:E41"/>
    <mergeCell ref="B27:J27"/>
    <mergeCell ref="D23:J23"/>
    <mergeCell ref="D25:J25"/>
    <mergeCell ref="B8:J16"/>
    <mergeCell ref="B21:J21"/>
    <mergeCell ref="B38:J38"/>
    <mergeCell ref="B18:J18"/>
    <mergeCell ref="D29:J29"/>
    <mergeCell ref="D31:J31"/>
    <mergeCell ref="D33:J33"/>
    <mergeCell ref="D43:E43"/>
    <mergeCell ref="F41:G41"/>
    <mergeCell ref="H41:I41"/>
    <mergeCell ref="F43:G43"/>
    <mergeCell ref="H43:I43"/>
    <mergeCell ref="F118:G118"/>
    <mergeCell ref="I118:J118"/>
    <mergeCell ref="B149:J149"/>
    <mergeCell ref="B151:J151"/>
    <mergeCell ref="B143:D143"/>
    <mergeCell ref="B145:D145"/>
    <mergeCell ref="B122:D122"/>
    <mergeCell ref="F122:G122"/>
    <mergeCell ref="B131:J131"/>
    <mergeCell ref="B137:D137"/>
    <mergeCell ref="B95:G95"/>
    <mergeCell ref="C99:F99"/>
    <mergeCell ref="C97:F97"/>
    <mergeCell ref="I97:J97"/>
    <mergeCell ref="I99:J99"/>
    <mergeCell ref="B126:D126"/>
    <mergeCell ref="F126:J126"/>
    <mergeCell ref="F124:G124"/>
    <mergeCell ref="B105:G105"/>
    <mergeCell ref="B156:J156"/>
    <mergeCell ref="I122:J122"/>
    <mergeCell ref="B130:J130"/>
    <mergeCell ref="F176:H176"/>
    <mergeCell ref="B69:J69"/>
    <mergeCell ref="B103:J103"/>
    <mergeCell ref="B107:J107"/>
    <mergeCell ref="F108:G108"/>
    <mergeCell ref="B114:D114"/>
    <mergeCell ref="B116:D116"/>
    <mergeCell ref="I74:J74"/>
    <mergeCell ref="B79:G79"/>
    <mergeCell ref="I79:J79"/>
    <mergeCell ref="B81:F81"/>
    <mergeCell ref="I81:J81"/>
    <mergeCell ref="B83:F83"/>
    <mergeCell ref="I83:J83"/>
    <mergeCell ref="C85:G85"/>
    <mergeCell ref="I87:J87"/>
    <mergeCell ref="I89:J89"/>
    <mergeCell ref="B133:D133"/>
    <mergeCell ref="B135:D135"/>
    <mergeCell ref="B139:D139"/>
    <mergeCell ref="B141:D141"/>
    <mergeCell ref="B158:G158"/>
    <mergeCell ref="I158:J158"/>
    <mergeCell ref="C160:G160"/>
    <mergeCell ref="B162:G162"/>
    <mergeCell ref="I162:J162"/>
    <mergeCell ref="B164:G164"/>
    <mergeCell ref="B178:H178"/>
    <mergeCell ref="I172:J172"/>
    <mergeCell ref="I184:J184"/>
    <mergeCell ref="C166:G166"/>
    <mergeCell ref="C168:G168"/>
    <mergeCell ref="I166:J166"/>
    <mergeCell ref="I168:J168"/>
    <mergeCell ref="F170:H170"/>
    <mergeCell ref="I170:J170"/>
    <mergeCell ref="E184:H184"/>
    <mergeCell ref="I194:J194"/>
    <mergeCell ref="I196:J196"/>
    <mergeCell ref="I198:J198"/>
    <mergeCell ref="B205:J208"/>
    <mergeCell ref="B203:J203"/>
    <mergeCell ref="I174:J174"/>
    <mergeCell ref="I176:J176"/>
    <mergeCell ref="C180:G180"/>
    <mergeCell ref="C182:G182"/>
    <mergeCell ref="I180:J180"/>
    <mergeCell ref="I182:J182"/>
    <mergeCell ref="B256:G256"/>
    <mergeCell ref="I124:J124"/>
    <mergeCell ref="I105:J105"/>
    <mergeCell ref="B120:D120"/>
    <mergeCell ref="F120:G120"/>
    <mergeCell ref="F112:G112"/>
    <mergeCell ref="F110:G110"/>
    <mergeCell ref="I108:J108"/>
    <mergeCell ref="I114:J114"/>
    <mergeCell ref="I116:J116"/>
    <mergeCell ref="B110:D110"/>
    <mergeCell ref="B112:D112"/>
    <mergeCell ref="I120:J120"/>
    <mergeCell ref="F114:G114"/>
    <mergeCell ref="F116:G116"/>
    <mergeCell ref="B118:D118"/>
    <mergeCell ref="E190:H190"/>
    <mergeCell ref="I186:J186"/>
    <mergeCell ref="I188:J188"/>
    <mergeCell ref="I190:J190"/>
    <mergeCell ref="D198:H198"/>
    <mergeCell ref="C196:G196"/>
    <mergeCell ref="C194:G194"/>
    <mergeCell ref="I160:J160"/>
    <mergeCell ref="F59:G59"/>
    <mergeCell ref="C361:D361"/>
    <mergeCell ref="G224:H225"/>
    <mergeCell ref="B192:G192"/>
    <mergeCell ref="G222:H222"/>
    <mergeCell ref="G227:H227"/>
    <mergeCell ref="G210:H210"/>
    <mergeCell ref="G212:H212"/>
    <mergeCell ref="G214:H214"/>
    <mergeCell ref="G216:H216"/>
    <mergeCell ref="G218:H218"/>
    <mergeCell ref="G220:H220"/>
    <mergeCell ref="C212:E212"/>
    <mergeCell ref="C214:E214"/>
    <mergeCell ref="C216:E216"/>
    <mergeCell ref="C218:E218"/>
    <mergeCell ref="C220:E220"/>
    <mergeCell ref="B233:J233"/>
    <mergeCell ref="B234:J244"/>
    <mergeCell ref="G229:H229"/>
    <mergeCell ref="C222:E222"/>
    <mergeCell ref="C224:E224"/>
    <mergeCell ref="C229:E229"/>
    <mergeCell ref="B254:G254"/>
  </mergeCells>
  <conditionalFormatting sqref="I170:J170">
    <cfRule type="cellIs" dxfId="3" priority="6" operator="equal">
      <formula>$I$162</formula>
    </cfRule>
  </conditionalFormatting>
  <conditionalFormatting sqref="I176:J176">
    <cfRule type="cellIs" dxfId="2" priority="5" operator="equal">
      <formula>$I$162</formula>
    </cfRule>
  </conditionalFormatting>
  <conditionalFormatting sqref="I190:J190">
    <cfRule type="cellIs" dxfId="1" priority="3" operator="equal">
      <formula>$H$147</formula>
    </cfRule>
  </conditionalFormatting>
  <conditionalFormatting sqref="I184:J184">
    <cfRule type="cellIs" dxfId="0" priority="1" operator="equal">
      <formula>$H$147</formula>
    </cfRule>
  </conditionalFormatting>
  <dataValidations count="1">
    <dataValidation type="list" allowBlank="1" showInputMessage="1" showErrorMessage="1" sqref="I79:J79 I81:J81 I83:J83 I158:J158">
      <formula1>YNU</formula1>
    </dataValidation>
  </dataValidations>
  <pageMargins left="0.7" right="0.7" top="0.75" bottom="0.75" header="0.3" footer="0.3"/>
  <pageSetup scale="66" fitToHeight="0" orientation="portrait" r:id="rId1"/>
  <rowBreaks count="13" manualBreakCount="13">
    <brk id="43" min="1" max="9" man="1"/>
    <brk id="68" min="1" max="9" man="1"/>
    <brk id="100" min="1" max="9" man="1"/>
    <brk id="127" min="1" max="9" man="1"/>
    <brk id="153" min="1" max="9" man="1"/>
    <brk id="200" min="1" max="9" man="1"/>
    <brk id="230" min="1" max="9" man="1"/>
    <brk id="264" min="1" max="9" man="1"/>
    <brk id="298" min="1" max="9" man="1"/>
    <brk id="330" min="1" max="9" man="1"/>
    <brk id="365" min="1" max="9" man="1"/>
    <brk id="402" min="1" max="9" man="1"/>
    <brk id="458" min="1" max="9" man="1"/>
  </rowBreaks>
  <drawing r:id="rId2"/>
  <legacyDrawing r:id="rId3"/>
  <controls>
    <mc:AlternateContent xmlns:mc="http://schemas.openxmlformats.org/markup-compatibility/2006">
      <mc:Choice Requires="x14">
        <control shapeId="1069" r:id="rId4" name="ComboBox20">
          <controlPr defaultSize="0" autoFill="0" autoLine="0" linkedCell="'Stored Values'!B106" listFillRange="YNU" r:id="rId5">
            <anchor moveWithCells="1">
              <from>
                <xdr:col>7</xdr:col>
                <xdr:colOff>1047750</xdr:colOff>
                <xdr:row>308</xdr:row>
                <xdr:rowOff>114300</xdr:rowOff>
              </from>
              <to>
                <xdr:col>10</xdr:col>
                <xdr:colOff>9525</xdr:colOff>
                <xdr:row>309</xdr:row>
                <xdr:rowOff>38100</xdr:rowOff>
              </to>
            </anchor>
          </controlPr>
        </control>
      </mc:Choice>
      <mc:Fallback>
        <control shapeId="1069" r:id="rId4" name="ComboBox20"/>
      </mc:Fallback>
    </mc:AlternateContent>
    <mc:AlternateContent xmlns:mc="http://schemas.openxmlformats.org/markup-compatibility/2006">
      <mc:Choice Requires="x14">
        <control shapeId="1068" r:id="rId6" name="ComboBox19">
          <controlPr defaultSize="0" autoFill="0" autoLine="0" linkedCell="'Stored Values'!B86" listFillRange="YNU" r:id="rId5">
            <anchor moveWithCells="1">
              <from>
                <xdr:col>7</xdr:col>
                <xdr:colOff>1057275</xdr:colOff>
                <xdr:row>253</xdr:row>
                <xdr:rowOff>171450</xdr:rowOff>
              </from>
              <to>
                <xdr:col>10</xdr:col>
                <xdr:colOff>19050</xdr:colOff>
                <xdr:row>254</xdr:row>
                <xdr:rowOff>66675</xdr:rowOff>
              </to>
            </anchor>
          </controlPr>
        </control>
      </mc:Choice>
      <mc:Fallback>
        <control shapeId="1068" r:id="rId6" name="ComboBox19"/>
      </mc:Fallback>
    </mc:AlternateContent>
    <mc:AlternateContent xmlns:mc="http://schemas.openxmlformats.org/markup-compatibility/2006">
      <mc:Choice Requires="x14">
        <control shapeId="1067" r:id="rId7" name="ComboBox18">
          <controlPr defaultSize="0" autoFill="0" autoLine="0" linkedCell="'Stored Values'!B146" listFillRange="YNU" r:id="rId8">
            <anchor moveWithCells="1">
              <from>
                <xdr:col>7</xdr:col>
                <xdr:colOff>990600</xdr:colOff>
                <xdr:row>293</xdr:row>
                <xdr:rowOff>142875</xdr:rowOff>
              </from>
              <to>
                <xdr:col>10</xdr:col>
                <xdr:colOff>95250</xdr:colOff>
                <xdr:row>295</xdr:row>
                <xdr:rowOff>9525</xdr:rowOff>
              </to>
            </anchor>
          </controlPr>
        </control>
      </mc:Choice>
      <mc:Fallback>
        <control shapeId="1067" r:id="rId7" name="ComboBox18"/>
      </mc:Fallback>
    </mc:AlternateContent>
    <mc:AlternateContent xmlns:mc="http://schemas.openxmlformats.org/markup-compatibility/2006">
      <mc:Choice Requires="x14">
        <control shapeId="1066" r:id="rId9" name="ComboBox17">
          <controlPr defaultSize="0" autoFill="0" autoLine="0" linkedCell="'Stored Values'!B145" listFillRange="YNU" r:id="rId10">
            <anchor moveWithCells="1">
              <from>
                <xdr:col>7</xdr:col>
                <xdr:colOff>1000125</xdr:colOff>
                <xdr:row>291</xdr:row>
                <xdr:rowOff>142875</xdr:rowOff>
              </from>
              <to>
                <xdr:col>10</xdr:col>
                <xdr:colOff>95250</xdr:colOff>
                <xdr:row>293</xdr:row>
                <xdr:rowOff>9525</xdr:rowOff>
              </to>
            </anchor>
          </controlPr>
        </control>
      </mc:Choice>
      <mc:Fallback>
        <control shapeId="1066" r:id="rId9" name="ComboBox17"/>
      </mc:Fallback>
    </mc:AlternateContent>
    <mc:AlternateContent xmlns:mc="http://schemas.openxmlformats.org/markup-compatibility/2006">
      <mc:Choice Requires="x14">
        <control shapeId="1065" r:id="rId11" name="ComboBox16">
          <controlPr defaultSize="0" autoFill="0" autoLine="0" linkedCell="'Stored Values'!B144" listFillRange="YNU" r:id="rId8">
            <anchor moveWithCells="1">
              <from>
                <xdr:col>7</xdr:col>
                <xdr:colOff>981075</xdr:colOff>
                <xdr:row>289</xdr:row>
                <xdr:rowOff>161925</xdr:rowOff>
              </from>
              <to>
                <xdr:col>10</xdr:col>
                <xdr:colOff>85725</xdr:colOff>
                <xdr:row>291</xdr:row>
                <xdr:rowOff>28575</xdr:rowOff>
              </to>
            </anchor>
          </controlPr>
        </control>
      </mc:Choice>
      <mc:Fallback>
        <control shapeId="1065" r:id="rId11" name="ComboBox16"/>
      </mc:Fallback>
    </mc:AlternateContent>
    <mc:AlternateContent xmlns:mc="http://schemas.openxmlformats.org/markup-compatibility/2006">
      <mc:Choice Requires="x14">
        <control shapeId="1064" r:id="rId12" name="ComboBox15">
          <controlPr defaultSize="0" autoFill="0" autoLine="0" linkedCell="'Stored Values'!B12" listFillRange="YNU" r:id="rId5">
            <anchor moveWithCells="1">
              <from>
                <xdr:col>7</xdr:col>
                <xdr:colOff>1047750</xdr:colOff>
                <xdr:row>245</xdr:row>
                <xdr:rowOff>123825</xdr:rowOff>
              </from>
              <to>
                <xdr:col>10</xdr:col>
                <xdr:colOff>9525</xdr:colOff>
                <xdr:row>245</xdr:row>
                <xdr:rowOff>428625</xdr:rowOff>
              </to>
            </anchor>
          </controlPr>
        </control>
      </mc:Choice>
      <mc:Fallback>
        <control shapeId="1064" r:id="rId12" name="ComboBox15"/>
      </mc:Fallback>
    </mc:AlternateContent>
    <mc:AlternateContent xmlns:mc="http://schemas.openxmlformats.org/markup-compatibility/2006">
      <mc:Choice Requires="x14">
        <control shapeId="1062" r:id="rId13" name="ListBox1">
          <controlPr defaultSize="0" autoLine="0" autoPict="0" linkedCell="'Stored Values'!Z3" listFillRange="Hosp_Lookup" r:id="rId14">
            <anchor moveWithCells="1" sizeWithCells="1">
              <from>
                <xdr:col>2</xdr:col>
                <xdr:colOff>9525</xdr:colOff>
                <xdr:row>49</xdr:row>
                <xdr:rowOff>85725</xdr:rowOff>
              </from>
              <to>
                <xdr:col>9</xdr:col>
                <xdr:colOff>1171575</xdr:colOff>
                <xdr:row>57</xdr:row>
                <xdr:rowOff>47625</xdr:rowOff>
              </to>
            </anchor>
          </controlPr>
        </control>
      </mc:Choice>
      <mc:Fallback>
        <control shapeId="1062" r:id="rId13" name="ListBox1"/>
      </mc:Fallback>
    </mc:AlternateContent>
    <mc:AlternateContent xmlns:mc="http://schemas.openxmlformats.org/markup-compatibility/2006">
      <mc:Choice Requires="x14">
        <control shapeId="1060" r:id="rId15" name="ComboBox14">
          <controlPr defaultSize="0" autoFill="0" autoLine="0" autoPict="0" linkedCell="Org_Select" listFillRange="Org_Lookup" r:id="rId16">
            <anchor moveWithCells="1">
              <from>
                <xdr:col>3</xdr:col>
                <xdr:colOff>619125</xdr:colOff>
                <xdr:row>47</xdr:row>
                <xdr:rowOff>95250</xdr:rowOff>
              </from>
              <to>
                <xdr:col>9</xdr:col>
                <xdr:colOff>1171575</xdr:colOff>
                <xdr:row>48</xdr:row>
                <xdr:rowOff>28575</xdr:rowOff>
              </to>
            </anchor>
          </controlPr>
        </control>
      </mc:Choice>
      <mc:Fallback>
        <control shapeId="1060" r:id="rId15" name="ComboBox14"/>
      </mc:Fallback>
    </mc:AlternateContent>
    <mc:AlternateContent xmlns:mc="http://schemas.openxmlformats.org/markup-compatibility/2006">
      <mc:Choice Requires="x14">
        <control shapeId="1059" r:id="rId17" name="ComboBox13">
          <controlPr defaultSize="0" autoFill="0" autoLine="0" autoPict="0" linkedCell="State_Select" listFillRange="State" r:id="rId18">
            <anchor moveWithCells="1">
              <from>
                <xdr:col>3</xdr:col>
                <xdr:colOff>609600</xdr:colOff>
                <xdr:row>45</xdr:row>
                <xdr:rowOff>28575</xdr:rowOff>
              </from>
              <to>
                <xdr:col>5</xdr:col>
                <xdr:colOff>514350</xdr:colOff>
                <xdr:row>46</xdr:row>
                <xdr:rowOff>19050</xdr:rowOff>
              </to>
            </anchor>
          </controlPr>
        </control>
      </mc:Choice>
      <mc:Fallback>
        <control shapeId="1059" r:id="rId17" name="ComboBox13"/>
      </mc:Fallback>
    </mc:AlternateContent>
    <mc:AlternateContent xmlns:mc="http://schemas.openxmlformats.org/markup-compatibility/2006">
      <mc:Choice Requires="x14">
        <control shapeId="1036" r:id="rId19" name="Sec3Q1">
          <controlPr locked="0" defaultSize="0" autoFill="0" autoLine="0" linkedCell="'Stored Values'!B11" listFillRange="YNU" r:id="rId20">
            <anchor moveWithCells="1">
              <from>
                <xdr:col>7</xdr:col>
                <xdr:colOff>1066800</xdr:colOff>
                <xdr:row>79</xdr:row>
                <xdr:rowOff>114300</xdr:rowOff>
              </from>
              <to>
                <xdr:col>10</xdr:col>
                <xdr:colOff>19050</xdr:colOff>
                <xdr:row>81</xdr:row>
                <xdr:rowOff>38100</xdr:rowOff>
              </to>
            </anchor>
          </controlPr>
        </control>
      </mc:Choice>
      <mc:Fallback>
        <control shapeId="1036" r:id="rId19" name="Sec3Q1"/>
      </mc:Fallback>
    </mc:AlternateContent>
    <mc:AlternateContent xmlns:mc="http://schemas.openxmlformats.org/markup-compatibility/2006">
      <mc:Choice Requires="x14">
        <control shapeId="1043" r:id="rId21" name="ComboBox1">
          <controlPr defaultSize="0" autoFill="0" autoLine="0" linkedCell="'Stored Values'!B12" listFillRange="YNU" r:id="rId5">
            <anchor moveWithCells="1">
              <from>
                <xdr:col>7</xdr:col>
                <xdr:colOff>1066800</xdr:colOff>
                <xdr:row>82</xdr:row>
                <xdr:rowOff>104775</xdr:rowOff>
              </from>
              <to>
                <xdr:col>10</xdr:col>
                <xdr:colOff>28575</xdr:colOff>
                <xdr:row>82</xdr:row>
                <xdr:rowOff>409575</xdr:rowOff>
              </to>
            </anchor>
          </controlPr>
        </control>
      </mc:Choice>
      <mc:Fallback>
        <control shapeId="1043" r:id="rId21" name="ComboBox1"/>
      </mc:Fallback>
    </mc:AlternateContent>
    <mc:AlternateContent xmlns:mc="http://schemas.openxmlformats.org/markup-compatibility/2006">
      <mc:Choice Requires="x14">
        <control shapeId="1045" r:id="rId22" name="ComboBox2">
          <controlPr defaultSize="0" autoFill="0" autoLine="0" autoPict="0" linkedCell="#REF!" listFillRange="YNU" r:id="rId23">
            <anchor moveWithCells="1">
              <from>
                <xdr:col>7</xdr:col>
                <xdr:colOff>1047750</xdr:colOff>
                <xdr:row>157</xdr:row>
                <xdr:rowOff>66675</xdr:rowOff>
              </from>
              <to>
                <xdr:col>10</xdr:col>
                <xdr:colOff>19050</xdr:colOff>
                <xdr:row>158</xdr:row>
                <xdr:rowOff>9525</xdr:rowOff>
              </to>
            </anchor>
          </controlPr>
        </control>
      </mc:Choice>
      <mc:Fallback>
        <control shapeId="1045" r:id="rId22" name="ComboBox2"/>
      </mc:Fallback>
    </mc:AlternateContent>
    <mc:AlternateContent xmlns:mc="http://schemas.openxmlformats.org/markup-compatibility/2006">
      <mc:Choice Requires="x14">
        <control shapeId="1046" r:id="rId24" name="ComboBox3">
          <controlPr defaultSize="0" autoFill="0" autoLine="0" linkedCell="#REF!" listFillRange="YNU" r:id="rId25">
            <anchor moveWithCells="1">
              <from>
                <xdr:col>7</xdr:col>
                <xdr:colOff>1057275</xdr:colOff>
                <xdr:row>265</xdr:row>
                <xdr:rowOff>152400</xdr:rowOff>
              </from>
              <to>
                <xdr:col>10</xdr:col>
                <xdr:colOff>57150</xdr:colOff>
                <xdr:row>267</xdr:row>
                <xdr:rowOff>57150</xdr:rowOff>
              </to>
            </anchor>
          </controlPr>
        </control>
      </mc:Choice>
      <mc:Fallback>
        <control shapeId="1046" r:id="rId24" name="ComboBox3"/>
      </mc:Fallback>
    </mc:AlternateContent>
    <mc:AlternateContent xmlns:mc="http://schemas.openxmlformats.org/markup-compatibility/2006">
      <mc:Choice Requires="x14">
        <control shapeId="1047" r:id="rId26" name="ComboBox4">
          <controlPr defaultSize="0" autoFill="0" autoLine="0" linkedCell="#REF!" listFillRange="YNU" r:id="rId25">
            <anchor moveWithCells="1">
              <from>
                <xdr:col>7</xdr:col>
                <xdr:colOff>1047750</xdr:colOff>
                <xdr:row>276</xdr:row>
                <xdr:rowOff>66675</xdr:rowOff>
              </from>
              <to>
                <xdr:col>10</xdr:col>
                <xdr:colOff>47625</xdr:colOff>
                <xdr:row>276</xdr:row>
                <xdr:rowOff>371475</xdr:rowOff>
              </to>
            </anchor>
          </controlPr>
        </control>
      </mc:Choice>
      <mc:Fallback>
        <control shapeId="1047" r:id="rId26" name="ComboBox4"/>
      </mc:Fallback>
    </mc:AlternateContent>
    <mc:AlternateContent xmlns:mc="http://schemas.openxmlformats.org/markup-compatibility/2006">
      <mc:Choice Requires="x14">
        <control shapeId="1049" r:id="rId27" name="ComboBox5">
          <controlPr defaultSize="0" autoFill="0" autoLine="0" linkedCell="'Stored Values'!B10" listFillRange="YNU" r:id="rId28">
            <anchor moveWithCells="1">
              <from>
                <xdr:col>7</xdr:col>
                <xdr:colOff>1066800</xdr:colOff>
                <xdr:row>78</xdr:row>
                <xdr:rowOff>104775</xdr:rowOff>
              </from>
              <to>
                <xdr:col>10</xdr:col>
                <xdr:colOff>9525</xdr:colOff>
                <xdr:row>78</xdr:row>
                <xdr:rowOff>419100</xdr:rowOff>
              </to>
            </anchor>
          </controlPr>
        </control>
      </mc:Choice>
      <mc:Fallback>
        <control shapeId="1049" r:id="rId27" name="ComboBox5"/>
      </mc:Fallback>
    </mc:AlternateContent>
    <mc:AlternateContent xmlns:mc="http://schemas.openxmlformats.org/markup-compatibility/2006">
      <mc:Choice Requires="x14">
        <control shapeId="1050" r:id="rId29" name="ComboBox6">
          <controlPr defaultSize="0" autoFill="0" autoLine="0" linkedCell="'Stored Values'!B9" listFillRange="FQHC" r:id="rId25">
            <anchor moveWithCells="1">
              <from>
                <xdr:col>7</xdr:col>
                <xdr:colOff>1009650</xdr:colOff>
                <xdr:row>72</xdr:row>
                <xdr:rowOff>152400</xdr:rowOff>
              </from>
              <to>
                <xdr:col>10</xdr:col>
                <xdr:colOff>9525</xdr:colOff>
                <xdr:row>74</xdr:row>
                <xdr:rowOff>76200</xdr:rowOff>
              </to>
            </anchor>
          </controlPr>
        </control>
      </mc:Choice>
      <mc:Fallback>
        <control shapeId="1050" r:id="rId29" name="ComboBox6"/>
      </mc:Fallback>
    </mc:AlternateContent>
    <mc:AlternateContent xmlns:mc="http://schemas.openxmlformats.org/markup-compatibility/2006">
      <mc:Choice Requires="x14">
        <control shapeId="1052" r:id="rId30" name="ComboBox7">
          <controlPr defaultSize="0" autoFill="0" autoLine="0" autoPict="0" linkedCell="'Stored Values'!D6" listFillRange="Months" r:id="rId31">
            <anchor moveWithCells="1">
              <from>
                <xdr:col>3</xdr:col>
                <xdr:colOff>9525</xdr:colOff>
                <xdr:row>40</xdr:row>
                <xdr:rowOff>9525</xdr:rowOff>
              </from>
              <to>
                <xdr:col>4</xdr:col>
                <xdr:colOff>781050</xdr:colOff>
                <xdr:row>41</xdr:row>
                <xdr:rowOff>0</xdr:rowOff>
              </to>
            </anchor>
          </controlPr>
        </control>
      </mc:Choice>
      <mc:Fallback>
        <control shapeId="1052" r:id="rId30" name="ComboBox7"/>
      </mc:Fallback>
    </mc:AlternateContent>
    <mc:AlternateContent xmlns:mc="http://schemas.openxmlformats.org/markup-compatibility/2006">
      <mc:Choice Requires="x14">
        <control shapeId="1053" r:id="rId32" name="ComboBox8">
          <controlPr defaultSize="0" autoFill="0" autoLine="0" linkedCell="'Stored Values'!D7" listFillRange="Months" r:id="rId33">
            <anchor moveWithCells="1">
              <from>
                <xdr:col>3</xdr:col>
                <xdr:colOff>9525</xdr:colOff>
                <xdr:row>42</xdr:row>
                <xdr:rowOff>9525</xdr:rowOff>
              </from>
              <to>
                <xdr:col>4</xdr:col>
                <xdr:colOff>790575</xdr:colOff>
                <xdr:row>43</xdr:row>
                <xdr:rowOff>0</xdr:rowOff>
              </to>
            </anchor>
          </controlPr>
        </control>
      </mc:Choice>
      <mc:Fallback>
        <control shapeId="1053" r:id="rId32" name="ComboBox8"/>
      </mc:Fallback>
    </mc:AlternateContent>
    <mc:AlternateContent xmlns:mc="http://schemas.openxmlformats.org/markup-compatibility/2006">
      <mc:Choice Requires="x14">
        <control shapeId="1054" r:id="rId34" name="ComboBox9">
          <controlPr defaultSize="0" autoFill="0" autoLine="0" autoPict="0" linkedCell="'Stored Values'!E6" listFillRange="Days" r:id="rId35">
            <anchor moveWithCells="1">
              <from>
                <xdr:col>5</xdr:col>
                <xdr:colOff>9525</xdr:colOff>
                <xdr:row>40</xdr:row>
                <xdr:rowOff>9525</xdr:rowOff>
              </from>
              <to>
                <xdr:col>6</xdr:col>
                <xdr:colOff>714375</xdr:colOff>
                <xdr:row>41</xdr:row>
                <xdr:rowOff>0</xdr:rowOff>
              </to>
            </anchor>
          </controlPr>
        </control>
      </mc:Choice>
      <mc:Fallback>
        <control shapeId="1054" r:id="rId34" name="ComboBox9"/>
      </mc:Fallback>
    </mc:AlternateContent>
    <mc:AlternateContent xmlns:mc="http://schemas.openxmlformats.org/markup-compatibility/2006">
      <mc:Choice Requires="x14">
        <control shapeId="1055" r:id="rId36" name="ComboBox10">
          <controlPr defaultSize="0" autoFill="0" autoLine="0" linkedCell="'Stored Values'!E7" listFillRange="Days" r:id="rId35">
            <anchor moveWithCells="1">
              <from>
                <xdr:col>5</xdr:col>
                <xdr:colOff>9525</xdr:colOff>
                <xdr:row>42</xdr:row>
                <xdr:rowOff>9525</xdr:rowOff>
              </from>
              <to>
                <xdr:col>6</xdr:col>
                <xdr:colOff>714375</xdr:colOff>
                <xdr:row>43</xdr:row>
                <xdr:rowOff>0</xdr:rowOff>
              </to>
            </anchor>
          </controlPr>
        </control>
      </mc:Choice>
      <mc:Fallback>
        <control shapeId="1055" r:id="rId36" name="ComboBox10"/>
      </mc:Fallback>
    </mc:AlternateContent>
    <mc:AlternateContent xmlns:mc="http://schemas.openxmlformats.org/markup-compatibility/2006">
      <mc:Choice Requires="x14">
        <control shapeId="1056" r:id="rId37" name="ComboBox11">
          <controlPr defaultSize="0" autoFill="0" autoLine="0" autoPict="0" linkedCell="'Stored Values'!F6" listFillRange="Year" r:id="rId38">
            <anchor moveWithCells="1">
              <from>
                <xdr:col>6</xdr:col>
                <xdr:colOff>704850</xdr:colOff>
                <xdr:row>40</xdr:row>
                <xdr:rowOff>9525</xdr:rowOff>
              </from>
              <to>
                <xdr:col>8</xdr:col>
                <xdr:colOff>704850</xdr:colOff>
                <xdr:row>41</xdr:row>
                <xdr:rowOff>0</xdr:rowOff>
              </to>
            </anchor>
          </controlPr>
        </control>
      </mc:Choice>
      <mc:Fallback>
        <control shapeId="1056" r:id="rId37" name="ComboBox11"/>
      </mc:Fallback>
    </mc:AlternateContent>
    <mc:AlternateContent xmlns:mc="http://schemas.openxmlformats.org/markup-compatibility/2006">
      <mc:Choice Requires="x14">
        <control shapeId="1057" r:id="rId39" name="ComboBox12">
          <controlPr defaultSize="0" autoFill="0" autoLine="0" linkedCell="'Stored Values'!F7" listFillRange="Year" r:id="rId38">
            <anchor moveWithCells="1">
              <from>
                <xdr:col>6</xdr:col>
                <xdr:colOff>704850</xdr:colOff>
                <xdr:row>42</xdr:row>
                <xdr:rowOff>9525</xdr:rowOff>
              </from>
              <to>
                <xdr:col>8</xdr:col>
                <xdr:colOff>704850</xdr:colOff>
                <xdr:row>43</xdr:row>
                <xdr:rowOff>0</xdr:rowOff>
              </to>
            </anchor>
          </controlPr>
        </control>
      </mc:Choice>
      <mc:Fallback>
        <control shapeId="1057" r:id="rId39" name="ComboBox12"/>
      </mc:Fallback>
    </mc:AlternateContent>
    <mc:AlternateContent xmlns:mc="http://schemas.openxmlformats.org/markup-compatibility/2006">
      <mc:Choice Requires="x14">
        <control shapeId="1071" r:id="rId40" name="Save">
          <controlPr defaultSize="0" autoLine="0" r:id="rId41">
            <anchor moveWithCells="1">
              <from>
                <xdr:col>4</xdr:col>
                <xdr:colOff>476250</xdr:colOff>
                <xdr:row>57</xdr:row>
                <xdr:rowOff>142875</xdr:rowOff>
              </from>
              <to>
                <xdr:col>7</xdr:col>
                <xdr:colOff>161925</xdr:colOff>
                <xdr:row>59</xdr:row>
                <xdr:rowOff>85725</xdr:rowOff>
              </to>
            </anchor>
          </controlPr>
        </control>
      </mc:Choice>
      <mc:Fallback>
        <control shapeId="1071" r:id="rId40" name="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AU215"/>
  <sheetViews>
    <sheetView zoomScaleNormal="100" workbookViewId="0">
      <selection sqref="A1:K40"/>
    </sheetView>
  </sheetViews>
  <sheetFormatPr defaultRowHeight="15" x14ac:dyDescent="0.25"/>
  <cols>
    <col min="1" max="1" width="9.140625" customWidth="1"/>
    <col min="12" max="47" width="9.140625" style="112"/>
  </cols>
  <sheetData>
    <row r="1" spans="1:13" ht="15" customHeight="1" x14ac:dyDescent="0.25">
      <c r="A1" s="247" t="s">
        <v>758</v>
      </c>
      <c r="B1" s="247"/>
      <c r="C1" s="247"/>
      <c r="D1" s="247"/>
      <c r="E1" s="247"/>
      <c r="F1" s="247"/>
      <c r="G1" s="247"/>
      <c r="H1" s="247"/>
      <c r="I1" s="247"/>
      <c r="J1" s="247"/>
      <c r="K1" s="247"/>
      <c r="L1" s="249"/>
      <c r="M1" s="249"/>
    </row>
    <row r="2" spans="1:13" x14ac:dyDescent="0.25">
      <c r="A2" s="247"/>
      <c r="B2" s="247"/>
      <c r="C2" s="247"/>
      <c r="D2" s="247"/>
      <c r="E2" s="247"/>
      <c r="F2" s="247"/>
      <c r="G2" s="247"/>
      <c r="H2" s="247"/>
      <c r="I2" s="247"/>
      <c r="J2" s="247"/>
      <c r="K2" s="247"/>
      <c r="L2" s="249"/>
      <c r="M2" s="249"/>
    </row>
    <row r="3" spans="1:13" x14ac:dyDescent="0.25">
      <c r="A3" s="247"/>
      <c r="B3" s="247"/>
      <c r="C3" s="247"/>
      <c r="D3" s="247"/>
      <c r="E3" s="247"/>
      <c r="F3" s="247"/>
      <c r="G3" s="247"/>
      <c r="H3" s="247"/>
      <c r="I3" s="247"/>
      <c r="J3" s="247"/>
      <c r="K3" s="247"/>
      <c r="L3" s="249"/>
      <c r="M3" s="249"/>
    </row>
    <row r="4" spans="1:13" x14ac:dyDescent="0.25">
      <c r="A4" s="247"/>
      <c r="B4" s="247"/>
      <c r="C4" s="247"/>
      <c r="D4" s="247"/>
      <c r="E4" s="247"/>
      <c r="F4" s="247"/>
      <c r="G4" s="247"/>
      <c r="H4" s="247"/>
      <c r="I4" s="247"/>
      <c r="J4" s="247"/>
      <c r="K4" s="247"/>
      <c r="L4" s="249"/>
      <c r="M4" s="249"/>
    </row>
    <row r="5" spans="1:13" x14ac:dyDescent="0.25">
      <c r="A5" s="247"/>
      <c r="B5" s="247"/>
      <c r="C5" s="247"/>
      <c r="D5" s="247"/>
      <c r="E5" s="247"/>
      <c r="F5" s="247"/>
      <c r="G5" s="247"/>
      <c r="H5" s="247"/>
      <c r="I5" s="247"/>
      <c r="J5" s="247"/>
      <c r="K5" s="247"/>
      <c r="L5" s="249"/>
      <c r="M5" s="249"/>
    </row>
    <row r="6" spans="1:13" x14ac:dyDescent="0.25">
      <c r="A6" s="247"/>
      <c r="B6" s="247"/>
      <c r="C6" s="247"/>
      <c r="D6" s="247"/>
      <c r="E6" s="247"/>
      <c r="F6" s="247"/>
      <c r="G6" s="247"/>
      <c r="H6" s="247"/>
      <c r="I6" s="247"/>
      <c r="J6" s="247"/>
      <c r="K6" s="247"/>
      <c r="L6" s="249"/>
      <c r="M6" s="249"/>
    </row>
    <row r="7" spans="1:13" x14ac:dyDescent="0.25">
      <c r="A7" s="247"/>
      <c r="B7" s="247"/>
      <c r="C7" s="247"/>
      <c r="D7" s="247"/>
      <c r="E7" s="247"/>
      <c r="F7" s="247"/>
      <c r="G7" s="247"/>
      <c r="H7" s="247"/>
      <c r="I7" s="247"/>
      <c r="J7" s="247"/>
      <c r="K7" s="247"/>
      <c r="L7" s="249"/>
      <c r="M7" s="249"/>
    </row>
    <row r="8" spans="1:13" x14ac:dyDescent="0.25">
      <c r="A8" s="247"/>
      <c r="B8" s="247"/>
      <c r="C8" s="247"/>
      <c r="D8" s="247"/>
      <c r="E8" s="247"/>
      <c r="F8" s="247"/>
      <c r="G8" s="247"/>
      <c r="H8" s="247"/>
      <c r="I8" s="247"/>
      <c r="J8" s="247"/>
      <c r="K8" s="247"/>
      <c r="L8" s="249"/>
      <c r="M8" s="249"/>
    </row>
    <row r="9" spans="1:13" x14ac:dyDescent="0.25">
      <c r="A9" s="247"/>
      <c r="B9" s="247"/>
      <c r="C9" s="247"/>
      <c r="D9" s="247"/>
      <c r="E9" s="247"/>
      <c r="F9" s="247"/>
      <c r="G9" s="247"/>
      <c r="H9" s="247"/>
      <c r="I9" s="247"/>
      <c r="J9" s="247"/>
      <c r="K9" s="247"/>
      <c r="L9" s="249"/>
      <c r="M9" s="249"/>
    </row>
    <row r="10" spans="1:13" x14ac:dyDescent="0.25">
      <c r="A10" s="247"/>
      <c r="B10" s="247"/>
      <c r="C10" s="247"/>
      <c r="D10" s="247"/>
      <c r="E10" s="247"/>
      <c r="F10" s="247"/>
      <c r="G10" s="247"/>
      <c r="H10" s="247"/>
      <c r="I10" s="247"/>
      <c r="J10" s="247"/>
      <c r="K10" s="247"/>
      <c r="L10" s="249"/>
      <c r="M10" s="249"/>
    </row>
    <row r="11" spans="1:13" x14ac:dyDescent="0.25">
      <c r="A11" s="247"/>
      <c r="B11" s="247"/>
      <c r="C11" s="247"/>
      <c r="D11" s="247"/>
      <c r="E11" s="247"/>
      <c r="F11" s="247"/>
      <c r="G11" s="247"/>
      <c r="H11" s="247"/>
      <c r="I11" s="247"/>
      <c r="J11" s="247"/>
      <c r="K11" s="247"/>
      <c r="L11" s="249"/>
      <c r="M11" s="249"/>
    </row>
    <row r="12" spans="1:13" x14ac:dyDescent="0.25">
      <c r="A12" s="247"/>
      <c r="B12" s="247"/>
      <c r="C12" s="247"/>
      <c r="D12" s="247"/>
      <c r="E12" s="247"/>
      <c r="F12" s="247"/>
      <c r="G12" s="247"/>
      <c r="H12" s="247"/>
      <c r="I12" s="247"/>
      <c r="J12" s="247"/>
      <c r="K12" s="247"/>
      <c r="L12" s="249"/>
      <c r="M12" s="249"/>
    </row>
    <row r="13" spans="1:13" x14ac:dyDescent="0.25">
      <c r="A13" s="247"/>
      <c r="B13" s="247"/>
      <c r="C13" s="247"/>
      <c r="D13" s="247"/>
      <c r="E13" s="247"/>
      <c r="F13" s="247"/>
      <c r="G13" s="247"/>
      <c r="H13" s="247"/>
      <c r="I13" s="247"/>
      <c r="J13" s="247"/>
      <c r="K13" s="247"/>
      <c r="L13" s="249"/>
      <c r="M13" s="249"/>
    </row>
    <row r="14" spans="1:13" x14ac:dyDescent="0.25">
      <c r="A14" s="247"/>
      <c r="B14" s="247"/>
      <c r="C14" s="247"/>
      <c r="D14" s="247"/>
      <c r="E14" s="247"/>
      <c r="F14" s="247"/>
      <c r="G14" s="247"/>
      <c r="H14" s="247"/>
      <c r="I14" s="247"/>
      <c r="J14" s="247"/>
      <c r="K14" s="247"/>
      <c r="L14" s="249"/>
      <c r="M14" s="249"/>
    </row>
    <row r="15" spans="1:13" x14ac:dyDescent="0.25">
      <c r="A15" s="247"/>
      <c r="B15" s="247"/>
      <c r="C15" s="247"/>
      <c r="D15" s="247"/>
      <c r="E15" s="247"/>
      <c r="F15" s="247"/>
      <c r="G15" s="247"/>
      <c r="H15" s="247"/>
      <c r="I15" s="247"/>
      <c r="J15" s="247"/>
      <c r="K15" s="247"/>
      <c r="L15" s="249"/>
      <c r="M15" s="249"/>
    </row>
    <row r="16" spans="1:13" x14ac:dyDescent="0.25">
      <c r="A16" s="247"/>
      <c r="B16" s="247"/>
      <c r="C16" s="247"/>
      <c r="D16" s="247"/>
      <c r="E16" s="247"/>
      <c r="F16" s="247"/>
      <c r="G16" s="247"/>
      <c r="H16" s="247"/>
      <c r="I16" s="247"/>
      <c r="J16" s="247"/>
      <c r="K16" s="247"/>
      <c r="L16" s="249"/>
      <c r="M16" s="249"/>
    </row>
    <row r="17" spans="1:13" x14ac:dyDescent="0.25">
      <c r="A17" s="247"/>
      <c r="B17" s="247"/>
      <c r="C17" s="247"/>
      <c r="D17" s="247"/>
      <c r="E17" s="247"/>
      <c r="F17" s="247"/>
      <c r="G17" s="247"/>
      <c r="H17" s="247"/>
      <c r="I17" s="247"/>
      <c r="J17" s="247"/>
      <c r="K17" s="247"/>
      <c r="L17" s="249"/>
      <c r="M17" s="249"/>
    </row>
    <row r="18" spans="1:13" x14ac:dyDescent="0.25">
      <c r="A18" s="247"/>
      <c r="B18" s="247"/>
      <c r="C18" s="247"/>
      <c r="D18" s="247"/>
      <c r="E18" s="247"/>
      <c r="F18" s="247"/>
      <c r="G18" s="247"/>
      <c r="H18" s="247"/>
      <c r="I18" s="247"/>
      <c r="J18" s="247"/>
      <c r="K18" s="247"/>
      <c r="L18" s="249"/>
      <c r="M18" s="249"/>
    </row>
    <row r="19" spans="1:13" x14ac:dyDescent="0.25">
      <c r="A19" s="247"/>
      <c r="B19" s="247"/>
      <c r="C19" s="247"/>
      <c r="D19" s="247"/>
      <c r="E19" s="247"/>
      <c r="F19" s="247"/>
      <c r="G19" s="247"/>
      <c r="H19" s="247"/>
      <c r="I19" s="247"/>
      <c r="J19" s="247"/>
      <c r="K19" s="247"/>
      <c r="L19" s="249"/>
      <c r="M19" s="249"/>
    </row>
    <row r="20" spans="1:13" x14ac:dyDescent="0.25">
      <c r="A20" s="247"/>
      <c r="B20" s="247"/>
      <c r="C20" s="247"/>
      <c r="D20" s="247"/>
      <c r="E20" s="247"/>
      <c r="F20" s="247"/>
      <c r="G20" s="247"/>
      <c r="H20" s="247"/>
      <c r="I20" s="247"/>
      <c r="J20" s="247"/>
      <c r="K20" s="247"/>
      <c r="L20" s="249"/>
      <c r="M20" s="249"/>
    </row>
    <row r="21" spans="1:13" x14ac:dyDescent="0.25">
      <c r="A21" s="247"/>
      <c r="B21" s="247"/>
      <c r="C21" s="247"/>
      <c r="D21" s="247"/>
      <c r="E21" s="247"/>
      <c r="F21" s="247"/>
      <c r="G21" s="247"/>
      <c r="H21" s="247"/>
      <c r="I21" s="247"/>
      <c r="J21" s="247"/>
      <c r="K21" s="247"/>
      <c r="L21" s="249"/>
      <c r="M21" s="249"/>
    </row>
    <row r="22" spans="1:13" x14ac:dyDescent="0.25">
      <c r="A22" s="247"/>
      <c r="B22" s="247"/>
      <c r="C22" s="247"/>
      <c r="D22" s="247"/>
      <c r="E22" s="247"/>
      <c r="F22" s="247"/>
      <c r="G22" s="247"/>
      <c r="H22" s="247"/>
      <c r="I22" s="247"/>
      <c r="J22" s="247"/>
      <c r="K22" s="247"/>
      <c r="L22" s="249"/>
      <c r="M22" s="249"/>
    </row>
    <row r="23" spans="1:13" x14ac:dyDescent="0.25">
      <c r="A23" s="247"/>
      <c r="B23" s="247"/>
      <c r="C23" s="247"/>
      <c r="D23" s="247"/>
      <c r="E23" s="247"/>
      <c r="F23" s="247"/>
      <c r="G23" s="247"/>
      <c r="H23" s="247"/>
      <c r="I23" s="247"/>
      <c r="J23" s="247"/>
      <c r="K23" s="247"/>
      <c r="L23" s="249"/>
      <c r="M23" s="249"/>
    </row>
    <row r="24" spans="1:13" x14ac:dyDescent="0.25">
      <c r="A24" s="247"/>
      <c r="B24" s="247"/>
      <c r="C24" s="247"/>
      <c r="D24" s="247"/>
      <c r="E24" s="247"/>
      <c r="F24" s="247"/>
      <c r="G24" s="247"/>
      <c r="H24" s="247"/>
      <c r="I24" s="247"/>
      <c r="J24" s="247"/>
      <c r="K24" s="247"/>
      <c r="L24" s="249"/>
      <c r="M24" s="249"/>
    </row>
    <row r="25" spans="1:13" x14ac:dyDescent="0.25">
      <c r="A25" s="247"/>
      <c r="B25" s="247"/>
      <c r="C25" s="247"/>
      <c r="D25" s="247"/>
      <c r="E25" s="247"/>
      <c r="F25" s="247"/>
      <c r="G25" s="247"/>
      <c r="H25" s="247"/>
      <c r="I25" s="247"/>
      <c r="J25" s="247"/>
      <c r="K25" s="247"/>
      <c r="L25" s="249"/>
      <c r="M25" s="249"/>
    </row>
    <row r="26" spans="1:13" x14ac:dyDescent="0.25">
      <c r="A26" s="247"/>
      <c r="B26" s="247"/>
      <c r="C26" s="247"/>
      <c r="D26" s="247"/>
      <c r="E26" s="247"/>
      <c r="F26" s="247"/>
      <c r="G26" s="247"/>
      <c r="H26" s="247"/>
      <c r="I26" s="247"/>
      <c r="J26" s="247"/>
      <c r="K26" s="247"/>
      <c r="L26" s="249"/>
      <c r="M26" s="249"/>
    </row>
    <row r="27" spans="1:13" x14ac:dyDescent="0.25">
      <c r="A27" s="247"/>
      <c r="B27" s="247"/>
      <c r="C27" s="247"/>
      <c r="D27" s="247"/>
      <c r="E27" s="247"/>
      <c r="F27" s="247"/>
      <c r="G27" s="247"/>
      <c r="H27" s="247"/>
      <c r="I27" s="247"/>
      <c r="J27" s="247"/>
      <c r="K27" s="247"/>
      <c r="L27" s="249"/>
      <c r="M27" s="249"/>
    </row>
    <row r="28" spans="1:13" x14ac:dyDescent="0.25">
      <c r="A28" s="247"/>
      <c r="B28" s="247"/>
      <c r="C28" s="247"/>
      <c r="D28" s="247"/>
      <c r="E28" s="247"/>
      <c r="F28" s="247"/>
      <c r="G28" s="247"/>
      <c r="H28" s="247"/>
      <c r="I28" s="247"/>
      <c r="J28" s="247"/>
      <c r="K28" s="247"/>
      <c r="L28" s="249"/>
      <c r="M28" s="249"/>
    </row>
    <row r="29" spans="1:13" x14ac:dyDescent="0.25">
      <c r="A29" s="247"/>
      <c r="B29" s="247"/>
      <c r="C29" s="247"/>
      <c r="D29" s="247"/>
      <c r="E29" s="247"/>
      <c r="F29" s="247"/>
      <c r="G29" s="247"/>
      <c r="H29" s="247"/>
      <c r="I29" s="247"/>
      <c r="J29" s="247"/>
      <c r="K29" s="247"/>
      <c r="L29" s="249"/>
      <c r="M29" s="249"/>
    </row>
    <row r="30" spans="1:13" x14ac:dyDescent="0.25">
      <c r="A30" s="247"/>
      <c r="B30" s="247"/>
      <c r="C30" s="247"/>
      <c r="D30" s="247"/>
      <c r="E30" s="247"/>
      <c r="F30" s="247"/>
      <c r="G30" s="247"/>
      <c r="H30" s="247"/>
      <c r="I30" s="247"/>
      <c r="J30" s="247"/>
      <c r="K30" s="247"/>
      <c r="L30" s="249"/>
      <c r="M30" s="249"/>
    </row>
    <row r="31" spans="1:13" x14ac:dyDescent="0.25">
      <c r="A31" s="247"/>
      <c r="B31" s="247"/>
      <c r="C31" s="247"/>
      <c r="D31" s="247"/>
      <c r="E31" s="247"/>
      <c r="F31" s="247"/>
      <c r="G31" s="247"/>
      <c r="H31" s="247"/>
      <c r="I31" s="247"/>
      <c r="J31" s="247"/>
      <c r="K31" s="247"/>
      <c r="L31" s="249"/>
      <c r="M31" s="249"/>
    </row>
    <row r="32" spans="1:13" x14ac:dyDescent="0.25">
      <c r="A32" s="247"/>
      <c r="B32" s="247"/>
      <c r="C32" s="247"/>
      <c r="D32" s="247"/>
      <c r="E32" s="247"/>
      <c r="F32" s="247"/>
      <c r="G32" s="247"/>
      <c r="H32" s="247"/>
      <c r="I32" s="247"/>
      <c r="J32" s="247"/>
      <c r="K32" s="247"/>
      <c r="L32" s="249"/>
      <c r="M32" s="249"/>
    </row>
    <row r="33" spans="1:13" x14ac:dyDescent="0.25">
      <c r="A33" s="247"/>
      <c r="B33" s="247"/>
      <c r="C33" s="247"/>
      <c r="D33" s="247"/>
      <c r="E33" s="247"/>
      <c r="F33" s="247"/>
      <c r="G33" s="247"/>
      <c r="H33" s="247"/>
      <c r="I33" s="247"/>
      <c r="J33" s="247"/>
      <c r="K33" s="247"/>
      <c r="L33" s="249"/>
      <c r="M33" s="249"/>
    </row>
    <row r="34" spans="1:13" x14ac:dyDescent="0.25">
      <c r="A34" s="247"/>
      <c r="B34" s="247"/>
      <c r="C34" s="247"/>
      <c r="D34" s="247"/>
      <c r="E34" s="247"/>
      <c r="F34" s="247"/>
      <c r="G34" s="247"/>
      <c r="H34" s="247"/>
      <c r="I34" s="247"/>
      <c r="J34" s="247"/>
      <c r="K34" s="247"/>
      <c r="L34" s="249"/>
      <c r="M34" s="249"/>
    </row>
    <row r="35" spans="1:13" x14ac:dyDescent="0.25">
      <c r="A35" s="247"/>
      <c r="B35" s="247"/>
      <c r="C35" s="247"/>
      <c r="D35" s="247"/>
      <c r="E35" s="247"/>
      <c r="F35" s="247"/>
      <c r="G35" s="247"/>
      <c r="H35" s="247"/>
      <c r="I35" s="247"/>
      <c r="J35" s="247"/>
      <c r="K35" s="247"/>
      <c r="L35" s="249"/>
      <c r="M35" s="249"/>
    </row>
    <row r="36" spans="1:13" x14ac:dyDescent="0.25">
      <c r="A36" s="247"/>
      <c r="B36" s="247"/>
      <c r="C36" s="247"/>
      <c r="D36" s="247"/>
      <c r="E36" s="247"/>
      <c r="F36" s="247"/>
      <c r="G36" s="247"/>
      <c r="H36" s="247"/>
      <c r="I36" s="247"/>
      <c r="J36" s="247"/>
      <c r="K36" s="247"/>
      <c r="L36" s="249"/>
      <c r="M36" s="249"/>
    </row>
    <row r="37" spans="1:13" x14ac:dyDescent="0.25">
      <c r="A37" s="247"/>
      <c r="B37" s="247"/>
      <c r="C37" s="247"/>
      <c r="D37" s="247"/>
      <c r="E37" s="247"/>
      <c r="F37" s="247"/>
      <c r="G37" s="247"/>
      <c r="H37" s="247"/>
      <c r="I37" s="247"/>
      <c r="J37" s="247"/>
      <c r="K37" s="247"/>
      <c r="L37" s="249"/>
      <c r="M37" s="249"/>
    </row>
    <row r="38" spans="1:13" x14ac:dyDescent="0.25">
      <c r="A38" s="247"/>
      <c r="B38" s="247"/>
      <c r="C38" s="247"/>
      <c r="D38" s="247"/>
      <c r="E38" s="247"/>
      <c r="F38" s="247"/>
      <c r="G38" s="247"/>
      <c r="H38" s="247"/>
      <c r="I38" s="247"/>
      <c r="J38" s="247"/>
      <c r="K38" s="247"/>
      <c r="L38" s="249"/>
      <c r="M38" s="249"/>
    </row>
    <row r="39" spans="1:13" x14ac:dyDescent="0.25">
      <c r="A39" s="247"/>
      <c r="B39" s="247"/>
      <c r="C39" s="247"/>
      <c r="D39" s="247"/>
      <c r="E39" s="247"/>
      <c r="F39" s="247"/>
      <c r="G39" s="247"/>
      <c r="H39" s="247"/>
      <c r="I39" s="247"/>
      <c r="J39" s="247"/>
      <c r="K39" s="247"/>
      <c r="L39" s="249"/>
      <c r="M39" s="249"/>
    </row>
    <row r="40" spans="1:13" x14ac:dyDescent="0.25">
      <c r="A40" s="247"/>
      <c r="B40" s="247"/>
      <c r="C40" s="247"/>
      <c r="D40" s="247"/>
      <c r="E40" s="247"/>
      <c r="F40" s="247"/>
      <c r="G40" s="247"/>
      <c r="H40" s="247"/>
      <c r="I40" s="247"/>
      <c r="J40" s="247"/>
      <c r="K40" s="247"/>
      <c r="L40" s="249"/>
      <c r="M40" s="249"/>
    </row>
    <row r="41" spans="1:13" s="112" customFormat="1" x14ac:dyDescent="0.25">
      <c r="A41" s="249"/>
      <c r="B41" s="249"/>
      <c r="C41" s="249"/>
      <c r="D41" s="249"/>
      <c r="E41" s="249"/>
      <c r="F41" s="249"/>
      <c r="G41" s="249"/>
      <c r="H41" s="249"/>
      <c r="I41" s="249"/>
      <c r="J41" s="249"/>
      <c r="K41" s="249"/>
      <c r="L41" s="249"/>
      <c r="M41" s="249"/>
    </row>
    <row r="42" spans="1:13" s="112" customFormat="1" x14ac:dyDescent="0.25">
      <c r="A42" s="249"/>
      <c r="B42" s="249"/>
      <c r="C42" s="249"/>
      <c r="D42" s="249"/>
      <c r="E42" s="249"/>
      <c r="F42" s="249"/>
      <c r="G42" s="249"/>
      <c r="H42" s="249"/>
      <c r="I42" s="249"/>
      <c r="J42" s="249"/>
      <c r="K42" s="249"/>
      <c r="L42" s="249"/>
      <c r="M42" s="249"/>
    </row>
    <row r="43" spans="1:13" s="112" customFormat="1" x14ac:dyDescent="0.25">
      <c r="A43" s="249"/>
      <c r="B43" s="249"/>
      <c r="C43" s="249"/>
      <c r="D43" s="249"/>
      <c r="E43" s="249"/>
      <c r="F43" s="249"/>
      <c r="G43" s="249"/>
      <c r="H43" s="249"/>
      <c r="I43" s="249"/>
      <c r="J43" s="249"/>
      <c r="K43" s="249"/>
      <c r="L43" s="249"/>
      <c r="M43" s="249"/>
    </row>
    <row r="44" spans="1:13" s="112" customFormat="1" x14ac:dyDescent="0.25">
      <c r="A44" s="249"/>
      <c r="B44" s="249"/>
      <c r="C44" s="249"/>
      <c r="D44" s="249"/>
      <c r="E44" s="249"/>
      <c r="F44" s="249"/>
      <c r="G44" s="249"/>
      <c r="H44" s="249"/>
      <c r="I44" s="249"/>
      <c r="J44" s="249"/>
      <c r="K44" s="249"/>
      <c r="L44" s="249"/>
      <c r="M44" s="249"/>
    </row>
    <row r="45" spans="1:13" s="112" customFormat="1" x14ac:dyDescent="0.25">
      <c r="A45" s="249"/>
      <c r="B45" s="249"/>
      <c r="C45" s="249"/>
      <c r="D45" s="249"/>
      <c r="E45" s="249"/>
      <c r="F45" s="249"/>
      <c r="G45" s="249"/>
      <c r="H45" s="249"/>
      <c r="I45" s="249"/>
      <c r="J45" s="249"/>
      <c r="K45" s="249"/>
      <c r="L45" s="249"/>
      <c r="M45" s="249"/>
    </row>
    <row r="46" spans="1:13" s="112" customFormat="1" x14ac:dyDescent="0.25">
      <c r="A46" s="249"/>
      <c r="B46" s="249"/>
      <c r="C46" s="249"/>
      <c r="D46" s="249"/>
      <c r="E46" s="249"/>
      <c r="F46" s="249"/>
      <c r="G46" s="249"/>
      <c r="H46" s="249"/>
      <c r="I46" s="249"/>
      <c r="J46" s="249"/>
      <c r="K46" s="249"/>
      <c r="L46" s="249"/>
      <c r="M46" s="249"/>
    </row>
    <row r="47" spans="1:13" s="112" customFormat="1" x14ac:dyDescent="0.25">
      <c r="A47" s="249"/>
      <c r="B47" s="249"/>
      <c r="C47" s="249"/>
      <c r="D47" s="249"/>
      <c r="E47" s="249"/>
      <c r="F47" s="249"/>
      <c r="G47" s="249"/>
      <c r="H47" s="249"/>
      <c r="I47" s="249"/>
      <c r="J47" s="249"/>
      <c r="K47" s="249"/>
      <c r="L47" s="249"/>
      <c r="M47" s="249"/>
    </row>
    <row r="48" spans="1:13" s="112" customFormat="1" x14ac:dyDescent="0.25">
      <c r="A48" s="249"/>
      <c r="B48" s="249"/>
      <c r="C48" s="249"/>
      <c r="D48" s="249"/>
      <c r="E48" s="249"/>
      <c r="F48" s="249"/>
      <c r="G48" s="249"/>
      <c r="H48" s="249"/>
      <c r="I48" s="249"/>
      <c r="J48" s="249"/>
      <c r="K48" s="249"/>
      <c r="L48" s="249"/>
      <c r="M48" s="249"/>
    </row>
    <row r="49" spans="1:13" s="112" customFormat="1" x14ac:dyDescent="0.25">
      <c r="A49" s="249"/>
      <c r="B49" s="249"/>
      <c r="C49" s="249"/>
      <c r="D49" s="249"/>
      <c r="E49" s="249"/>
      <c r="F49" s="249"/>
      <c r="G49" s="249"/>
      <c r="H49" s="249"/>
      <c r="I49" s="249"/>
      <c r="J49" s="249"/>
      <c r="K49" s="249"/>
      <c r="L49" s="249"/>
      <c r="M49" s="249"/>
    </row>
    <row r="50" spans="1:13" s="112" customFormat="1" x14ac:dyDescent="0.25">
      <c r="A50" s="249"/>
      <c r="B50" s="249"/>
      <c r="C50" s="249"/>
      <c r="D50" s="249"/>
      <c r="E50" s="249"/>
      <c r="F50" s="249"/>
      <c r="G50" s="249"/>
      <c r="H50" s="249"/>
      <c r="I50" s="249"/>
      <c r="J50" s="249"/>
      <c r="K50" s="249"/>
      <c r="L50" s="249"/>
      <c r="M50" s="249"/>
    </row>
    <row r="51" spans="1:13" s="112" customFormat="1" x14ac:dyDescent="0.25">
      <c r="A51" s="249"/>
      <c r="B51" s="249"/>
      <c r="C51" s="249"/>
      <c r="D51" s="249"/>
      <c r="E51" s="249"/>
      <c r="F51" s="249"/>
      <c r="G51" s="249"/>
      <c r="H51" s="249"/>
      <c r="I51" s="249"/>
      <c r="J51" s="249"/>
      <c r="K51" s="249"/>
      <c r="L51" s="249"/>
      <c r="M51" s="249"/>
    </row>
    <row r="52" spans="1:13" s="112" customFormat="1" x14ac:dyDescent="0.25">
      <c r="A52" s="249"/>
      <c r="B52" s="249"/>
      <c r="C52" s="249"/>
      <c r="D52" s="249"/>
      <c r="E52" s="249"/>
      <c r="F52" s="249"/>
      <c r="G52" s="249"/>
      <c r="H52" s="249"/>
      <c r="I52" s="249"/>
      <c r="J52" s="249"/>
      <c r="K52" s="249"/>
      <c r="L52" s="249"/>
      <c r="M52" s="249"/>
    </row>
    <row r="53" spans="1:13" s="112" customFormat="1" x14ac:dyDescent="0.25">
      <c r="A53" s="249"/>
      <c r="B53" s="249"/>
      <c r="C53" s="249"/>
      <c r="D53" s="249"/>
      <c r="E53" s="249"/>
      <c r="F53" s="249"/>
      <c r="G53" s="249"/>
      <c r="H53" s="249"/>
      <c r="I53" s="249"/>
      <c r="J53" s="249"/>
      <c r="K53" s="249"/>
      <c r="L53" s="249"/>
      <c r="M53" s="249"/>
    </row>
    <row r="54" spans="1:13" s="112" customFormat="1" x14ac:dyDescent="0.25">
      <c r="A54" s="249"/>
      <c r="B54" s="249"/>
      <c r="C54" s="249"/>
      <c r="D54" s="249"/>
      <c r="E54" s="249"/>
      <c r="F54" s="249"/>
      <c r="G54" s="249"/>
      <c r="H54" s="249"/>
      <c r="I54" s="249"/>
      <c r="J54" s="249"/>
      <c r="K54" s="249"/>
      <c r="L54" s="249"/>
      <c r="M54" s="249"/>
    </row>
    <row r="55" spans="1:13" s="112" customFormat="1" x14ac:dyDescent="0.25">
      <c r="A55" s="249"/>
      <c r="B55" s="249"/>
      <c r="C55" s="249"/>
      <c r="D55" s="249"/>
      <c r="E55" s="249"/>
      <c r="F55" s="249"/>
      <c r="G55" s="249"/>
      <c r="H55" s="249"/>
      <c r="I55" s="249"/>
      <c r="J55" s="249"/>
      <c r="K55" s="249"/>
      <c r="L55" s="249"/>
      <c r="M55" s="249"/>
    </row>
    <row r="56" spans="1:13" s="112" customFormat="1" x14ac:dyDescent="0.25">
      <c r="A56" s="249"/>
      <c r="B56" s="249"/>
      <c r="C56" s="249"/>
      <c r="D56" s="249"/>
      <c r="E56" s="249"/>
      <c r="F56" s="249"/>
      <c r="G56" s="249"/>
      <c r="H56" s="249"/>
      <c r="I56" s="249"/>
      <c r="J56" s="249"/>
      <c r="K56" s="249"/>
      <c r="L56" s="249"/>
      <c r="M56" s="249"/>
    </row>
    <row r="57" spans="1:13" s="112" customFormat="1" x14ac:dyDescent="0.25">
      <c r="A57" s="249"/>
      <c r="B57" s="249"/>
      <c r="C57" s="249"/>
      <c r="D57" s="249"/>
      <c r="E57" s="249"/>
      <c r="F57" s="249"/>
      <c r="G57" s="249"/>
      <c r="H57" s="249"/>
      <c r="I57" s="249"/>
      <c r="J57" s="249"/>
      <c r="K57" s="249"/>
      <c r="L57" s="249"/>
      <c r="M57" s="249"/>
    </row>
    <row r="58" spans="1:13" s="112" customFormat="1" x14ac:dyDescent="0.25">
      <c r="A58" s="249"/>
      <c r="B58" s="249"/>
      <c r="C58" s="249"/>
      <c r="D58" s="249"/>
      <c r="E58" s="249"/>
      <c r="F58" s="249"/>
      <c r="G58" s="249"/>
      <c r="H58" s="249"/>
      <c r="I58" s="249"/>
      <c r="J58" s="249"/>
      <c r="K58" s="249"/>
      <c r="L58" s="249"/>
      <c r="M58" s="249"/>
    </row>
    <row r="59" spans="1:13" s="112" customFormat="1" x14ac:dyDescent="0.25">
      <c r="A59" s="249"/>
      <c r="B59" s="249"/>
      <c r="C59" s="249"/>
      <c r="D59" s="249"/>
      <c r="E59" s="249"/>
      <c r="F59" s="249"/>
      <c r="G59" s="249"/>
      <c r="H59" s="249"/>
      <c r="I59" s="249"/>
      <c r="J59" s="249"/>
      <c r="K59" s="249"/>
      <c r="L59" s="249"/>
      <c r="M59" s="249"/>
    </row>
    <row r="60" spans="1:13" s="112" customFormat="1" x14ac:dyDescent="0.25">
      <c r="A60" s="249"/>
      <c r="B60" s="249"/>
      <c r="C60" s="249"/>
      <c r="D60" s="249"/>
      <c r="E60" s="249"/>
      <c r="F60" s="249"/>
      <c r="G60" s="249"/>
      <c r="H60" s="249"/>
      <c r="I60" s="249"/>
      <c r="J60" s="249"/>
      <c r="K60" s="249"/>
      <c r="L60" s="249"/>
      <c r="M60" s="249"/>
    </row>
    <row r="61" spans="1:13" s="112" customFormat="1" x14ac:dyDescent="0.25">
      <c r="A61" s="249"/>
      <c r="B61" s="249"/>
      <c r="C61" s="249"/>
      <c r="D61" s="249"/>
      <c r="E61" s="249"/>
      <c r="F61" s="249"/>
      <c r="G61" s="249"/>
      <c r="H61" s="249"/>
      <c r="I61" s="249"/>
      <c r="J61" s="249"/>
      <c r="K61" s="249"/>
      <c r="L61" s="249"/>
      <c r="M61" s="249"/>
    </row>
    <row r="62" spans="1:13" s="112" customFormat="1" x14ac:dyDescent="0.25">
      <c r="A62" s="249"/>
      <c r="B62" s="249"/>
      <c r="C62" s="249"/>
      <c r="D62" s="249"/>
      <c r="E62" s="249"/>
      <c r="F62" s="249"/>
      <c r="G62" s="249"/>
      <c r="H62" s="249"/>
      <c r="I62" s="249"/>
      <c r="J62" s="249"/>
      <c r="K62" s="249"/>
      <c r="L62" s="249"/>
      <c r="M62" s="249"/>
    </row>
    <row r="63" spans="1:13" s="112" customFormat="1" x14ac:dyDescent="0.25">
      <c r="A63" s="249"/>
      <c r="B63" s="249"/>
      <c r="C63" s="249"/>
      <c r="D63" s="249"/>
      <c r="E63" s="249"/>
      <c r="F63" s="249"/>
      <c r="G63" s="249"/>
      <c r="H63" s="249"/>
      <c r="I63" s="249"/>
      <c r="J63" s="249"/>
      <c r="K63" s="249"/>
      <c r="L63" s="249"/>
      <c r="M63" s="249"/>
    </row>
    <row r="64" spans="1:13" s="112" customFormat="1" x14ac:dyDescent="0.25">
      <c r="A64" s="249"/>
      <c r="B64" s="249"/>
      <c r="C64" s="249"/>
      <c r="D64" s="249"/>
      <c r="E64" s="249"/>
      <c r="F64" s="249"/>
      <c r="G64" s="249"/>
      <c r="H64" s="249"/>
      <c r="I64" s="249"/>
      <c r="J64" s="249"/>
      <c r="K64" s="249"/>
      <c r="L64" s="249"/>
      <c r="M64" s="249"/>
    </row>
    <row r="65" spans="1:13" s="112" customFormat="1" x14ac:dyDescent="0.25">
      <c r="A65" s="249"/>
      <c r="B65" s="249"/>
      <c r="C65" s="249"/>
      <c r="D65" s="249"/>
      <c r="E65" s="249"/>
      <c r="F65" s="249"/>
      <c r="G65" s="249"/>
      <c r="H65" s="249"/>
      <c r="I65" s="249"/>
      <c r="J65" s="249"/>
      <c r="K65" s="249"/>
      <c r="L65" s="249"/>
      <c r="M65" s="249"/>
    </row>
    <row r="66" spans="1:13" s="112" customFormat="1" x14ac:dyDescent="0.25">
      <c r="A66" s="249"/>
      <c r="B66" s="249"/>
      <c r="C66" s="249"/>
      <c r="D66" s="249"/>
      <c r="E66" s="249"/>
      <c r="F66" s="249"/>
      <c r="G66" s="249"/>
      <c r="H66" s="249"/>
      <c r="I66" s="249"/>
      <c r="J66" s="249"/>
      <c r="K66" s="249"/>
      <c r="L66" s="249"/>
      <c r="M66" s="249"/>
    </row>
    <row r="67" spans="1:13" s="112" customFormat="1" x14ac:dyDescent="0.25">
      <c r="A67" s="249"/>
      <c r="B67" s="249"/>
      <c r="C67" s="249"/>
      <c r="D67" s="249"/>
      <c r="E67" s="249"/>
      <c r="F67" s="249"/>
      <c r="G67" s="249"/>
      <c r="H67" s="249"/>
      <c r="I67" s="249"/>
      <c r="J67" s="249"/>
      <c r="K67" s="249"/>
      <c r="L67" s="249"/>
      <c r="M67" s="249"/>
    </row>
    <row r="68" spans="1:13" s="112" customFormat="1" x14ac:dyDescent="0.25">
      <c r="A68" s="249"/>
      <c r="B68" s="249"/>
      <c r="C68" s="249"/>
      <c r="D68" s="249"/>
      <c r="E68" s="249"/>
      <c r="F68" s="249"/>
      <c r="G68" s="249"/>
      <c r="H68" s="249"/>
      <c r="I68" s="249"/>
      <c r="J68" s="249"/>
      <c r="K68" s="249"/>
      <c r="L68" s="249"/>
      <c r="M68" s="249"/>
    </row>
    <row r="69" spans="1:13" s="112" customFormat="1" x14ac:dyDescent="0.25">
      <c r="A69" s="249"/>
      <c r="B69" s="249"/>
      <c r="C69" s="249"/>
      <c r="D69" s="249"/>
      <c r="E69" s="249"/>
      <c r="F69" s="249"/>
      <c r="G69" s="249"/>
      <c r="H69" s="249"/>
      <c r="I69" s="249"/>
      <c r="J69" s="249"/>
      <c r="K69" s="249"/>
      <c r="L69" s="249"/>
      <c r="M69" s="249"/>
    </row>
    <row r="70" spans="1:13" s="112" customFormat="1" x14ac:dyDescent="0.25">
      <c r="A70" s="249"/>
      <c r="B70" s="249"/>
      <c r="C70" s="249"/>
      <c r="D70" s="249"/>
      <c r="E70" s="249"/>
      <c r="F70" s="249"/>
      <c r="G70" s="249"/>
      <c r="H70" s="249"/>
      <c r="I70" s="249"/>
      <c r="J70" s="249"/>
      <c r="K70" s="249"/>
      <c r="L70" s="249"/>
      <c r="M70" s="249"/>
    </row>
    <row r="71" spans="1:13" s="112" customFormat="1" x14ac:dyDescent="0.25">
      <c r="A71" s="249"/>
      <c r="B71" s="249"/>
      <c r="C71" s="249"/>
      <c r="D71" s="249"/>
      <c r="E71" s="249"/>
      <c r="F71" s="249"/>
      <c r="G71" s="249"/>
      <c r="H71" s="249"/>
      <c r="I71" s="249"/>
      <c r="J71" s="249"/>
      <c r="K71" s="249"/>
      <c r="L71" s="249"/>
      <c r="M71" s="249"/>
    </row>
    <row r="72" spans="1:13" s="112" customFormat="1" x14ac:dyDescent="0.25">
      <c r="A72" s="249"/>
      <c r="B72" s="249"/>
      <c r="C72" s="249"/>
      <c r="D72" s="249"/>
      <c r="E72" s="249"/>
      <c r="F72" s="249"/>
      <c r="G72" s="249"/>
      <c r="H72" s="249"/>
      <c r="I72" s="249"/>
      <c r="J72" s="249"/>
      <c r="K72" s="249"/>
      <c r="L72" s="249"/>
      <c r="M72" s="249"/>
    </row>
    <row r="73" spans="1:13" s="112" customFormat="1" x14ac:dyDescent="0.25">
      <c r="A73" s="249"/>
      <c r="B73" s="249"/>
      <c r="C73" s="249"/>
      <c r="D73" s="249"/>
      <c r="E73" s="249"/>
      <c r="F73" s="249"/>
      <c r="G73" s="249"/>
      <c r="H73" s="249"/>
      <c r="I73" s="249"/>
      <c r="J73" s="249"/>
      <c r="K73" s="249"/>
      <c r="L73" s="249"/>
      <c r="M73" s="249"/>
    </row>
    <row r="74" spans="1:13" s="112" customFormat="1" x14ac:dyDescent="0.25">
      <c r="A74" s="249"/>
      <c r="B74" s="249"/>
      <c r="C74" s="249"/>
      <c r="D74" s="249"/>
      <c r="E74" s="249"/>
      <c r="F74" s="249"/>
      <c r="G74" s="249"/>
      <c r="H74" s="249"/>
      <c r="I74" s="249"/>
      <c r="J74" s="249"/>
      <c r="K74" s="249"/>
      <c r="L74" s="249"/>
      <c r="M74" s="249"/>
    </row>
    <row r="75" spans="1:13" s="112" customFormat="1" x14ac:dyDescent="0.25">
      <c r="A75" s="249"/>
      <c r="B75" s="249"/>
      <c r="C75" s="249"/>
      <c r="D75" s="249"/>
      <c r="E75" s="249"/>
      <c r="F75" s="249"/>
      <c r="G75" s="249"/>
      <c r="H75" s="249"/>
      <c r="I75" s="249"/>
      <c r="J75" s="249"/>
      <c r="K75" s="249"/>
      <c r="L75" s="249"/>
      <c r="M75" s="249"/>
    </row>
    <row r="76" spans="1:13" s="112" customFormat="1" x14ac:dyDescent="0.25">
      <c r="A76" s="249"/>
      <c r="B76" s="249"/>
      <c r="C76" s="249"/>
      <c r="D76" s="249"/>
      <c r="E76" s="249"/>
      <c r="F76" s="249"/>
      <c r="G76" s="249"/>
      <c r="H76" s="249"/>
      <c r="I76" s="249"/>
      <c r="J76" s="249"/>
      <c r="K76" s="249"/>
      <c r="L76" s="249"/>
      <c r="M76" s="249"/>
    </row>
    <row r="77" spans="1:13" s="112" customFormat="1" x14ac:dyDescent="0.25">
      <c r="A77" s="249"/>
      <c r="B77" s="249"/>
      <c r="C77" s="249"/>
      <c r="D77" s="249"/>
      <c r="E77" s="249"/>
      <c r="F77" s="249"/>
      <c r="G77" s="249"/>
      <c r="H77" s="249"/>
      <c r="I77" s="249"/>
      <c r="J77" s="249"/>
      <c r="K77" s="249"/>
      <c r="L77" s="249"/>
      <c r="M77" s="249"/>
    </row>
    <row r="78" spans="1:13" s="112" customFormat="1" x14ac:dyDescent="0.25">
      <c r="A78" s="249"/>
      <c r="B78" s="249"/>
      <c r="C78" s="249"/>
      <c r="D78" s="249"/>
      <c r="E78" s="249"/>
      <c r="F78" s="249"/>
      <c r="G78" s="249"/>
      <c r="H78" s="249"/>
      <c r="I78" s="249"/>
      <c r="J78" s="249"/>
      <c r="K78" s="249"/>
      <c r="L78" s="249"/>
      <c r="M78" s="249"/>
    </row>
    <row r="79" spans="1:13" s="112" customFormat="1" x14ac:dyDescent="0.25">
      <c r="A79" s="249"/>
      <c r="B79" s="249"/>
      <c r="C79" s="249"/>
      <c r="D79" s="249"/>
      <c r="E79" s="249"/>
      <c r="F79" s="249"/>
      <c r="G79" s="249"/>
      <c r="H79" s="249"/>
      <c r="I79" s="249"/>
      <c r="J79" s="249"/>
      <c r="K79" s="249"/>
      <c r="L79" s="249"/>
      <c r="M79" s="249"/>
    </row>
    <row r="80" spans="1:13" s="112" customFormat="1" x14ac:dyDescent="0.25">
      <c r="A80" s="249"/>
      <c r="B80" s="249"/>
      <c r="C80" s="249"/>
      <c r="D80" s="249"/>
      <c r="E80" s="249"/>
      <c r="F80" s="249"/>
      <c r="G80" s="249"/>
      <c r="H80" s="249"/>
      <c r="I80" s="249"/>
      <c r="J80" s="249"/>
      <c r="K80" s="249"/>
      <c r="L80" s="249"/>
      <c r="M80" s="249"/>
    </row>
    <row r="81" spans="1:13" s="112" customFormat="1" x14ac:dyDescent="0.25">
      <c r="A81" s="249"/>
      <c r="B81" s="249"/>
      <c r="C81" s="249"/>
      <c r="D81" s="249"/>
      <c r="E81" s="249"/>
      <c r="F81" s="249"/>
      <c r="G81" s="249"/>
      <c r="H81" s="249"/>
      <c r="I81" s="249"/>
      <c r="J81" s="249"/>
      <c r="K81" s="249"/>
      <c r="L81" s="249"/>
      <c r="M81" s="249"/>
    </row>
    <row r="82" spans="1:13" s="112" customFormat="1" x14ac:dyDescent="0.25">
      <c r="A82" s="249"/>
      <c r="B82" s="249"/>
      <c r="C82" s="249"/>
      <c r="D82" s="249"/>
      <c r="E82" s="249"/>
      <c r="F82" s="249"/>
      <c r="G82" s="249"/>
      <c r="H82" s="249"/>
      <c r="I82" s="249"/>
      <c r="J82" s="249"/>
      <c r="K82" s="249"/>
      <c r="L82" s="249"/>
      <c r="M82" s="249"/>
    </row>
    <row r="83" spans="1:13" s="112" customFormat="1" x14ac:dyDescent="0.25">
      <c r="A83" s="249"/>
      <c r="B83" s="249"/>
      <c r="C83" s="249"/>
      <c r="D83" s="249"/>
      <c r="E83" s="249"/>
      <c r="F83" s="249"/>
      <c r="G83" s="249"/>
      <c r="H83" s="249"/>
      <c r="I83" s="249"/>
      <c r="J83" s="249"/>
      <c r="K83" s="249"/>
      <c r="L83" s="249"/>
      <c r="M83" s="249"/>
    </row>
    <row r="84" spans="1:13" s="112" customFormat="1" x14ac:dyDescent="0.25">
      <c r="A84" s="249"/>
      <c r="B84" s="249"/>
      <c r="C84" s="249"/>
      <c r="D84" s="249"/>
      <c r="E84" s="249"/>
      <c r="F84" s="249"/>
      <c r="G84" s="249"/>
      <c r="H84" s="249"/>
      <c r="I84" s="249"/>
      <c r="J84" s="249"/>
      <c r="K84" s="249"/>
      <c r="L84" s="249"/>
      <c r="M84" s="249"/>
    </row>
    <row r="85" spans="1:13" s="112" customFormat="1" x14ac:dyDescent="0.25">
      <c r="A85" s="249"/>
      <c r="B85" s="249"/>
      <c r="C85" s="249"/>
      <c r="D85" s="249"/>
      <c r="E85" s="249"/>
      <c r="F85" s="249"/>
      <c r="G85" s="249"/>
      <c r="H85" s="249"/>
      <c r="I85" s="249"/>
      <c r="J85" s="249"/>
      <c r="K85" s="249"/>
      <c r="L85" s="249"/>
      <c r="M85" s="249"/>
    </row>
    <row r="86" spans="1:13" s="112" customFormat="1" x14ac:dyDescent="0.25">
      <c r="A86" s="249"/>
      <c r="B86" s="249"/>
      <c r="C86" s="249"/>
      <c r="D86" s="249"/>
      <c r="E86" s="249"/>
      <c r="F86" s="249"/>
      <c r="G86" s="249"/>
      <c r="H86" s="249"/>
      <c r="I86" s="249"/>
      <c r="J86" s="249"/>
      <c r="K86" s="249"/>
      <c r="L86" s="249"/>
      <c r="M86" s="249"/>
    </row>
    <row r="87" spans="1:13" s="112" customFormat="1" x14ac:dyDescent="0.25">
      <c r="A87" s="249"/>
      <c r="B87" s="249"/>
      <c r="C87" s="249"/>
      <c r="D87" s="249"/>
      <c r="E87" s="249"/>
      <c r="F87" s="249"/>
      <c r="G87" s="249"/>
      <c r="H87" s="249"/>
      <c r="I87" s="249"/>
      <c r="J87" s="249"/>
      <c r="K87" s="249"/>
      <c r="L87" s="249"/>
      <c r="M87" s="249"/>
    </row>
    <row r="88" spans="1:13" s="112" customFormat="1" x14ac:dyDescent="0.25">
      <c r="A88" s="249"/>
      <c r="B88" s="249"/>
      <c r="C88" s="249"/>
      <c r="D88" s="249"/>
      <c r="E88" s="249"/>
      <c r="F88" s="249"/>
      <c r="G88" s="249"/>
      <c r="H88" s="249"/>
      <c r="I88" s="249"/>
      <c r="J88" s="249"/>
      <c r="K88" s="249"/>
      <c r="L88" s="249"/>
      <c r="M88" s="249"/>
    </row>
    <row r="89" spans="1:13" s="112" customFormat="1" x14ac:dyDescent="0.25">
      <c r="A89" s="249"/>
      <c r="B89" s="249"/>
      <c r="C89" s="249"/>
      <c r="D89" s="249"/>
      <c r="E89" s="249"/>
      <c r="F89" s="249"/>
      <c r="G89" s="249"/>
      <c r="H89" s="249"/>
      <c r="I89" s="249"/>
      <c r="J89" s="249"/>
      <c r="K89" s="249"/>
      <c r="L89" s="249"/>
      <c r="M89" s="249"/>
    </row>
    <row r="90" spans="1:13" s="112" customFormat="1" x14ac:dyDescent="0.25">
      <c r="A90" s="249"/>
      <c r="B90" s="249"/>
      <c r="C90" s="249"/>
      <c r="D90" s="249"/>
      <c r="E90" s="249"/>
      <c r="F90" s="249"/>
      <c r="G90" s="249"/>
      <c r="H90" s="249"/>
      <c r="I90" s="249"/>
      <c r="J90" s="249"/>
      <c r="K90" s="249"/>
      <c r="L90" s="249"/>
      <c r="M90" s="249"/>
    </row>
    <row r="91" spans="1:13" s="112" customFormat="1" x14ac:dyDescent="0.25">
      <c r="A91" s="249"/>
      <c r="B91" s="249"/>
      <c r="C91" s="249"/>
      <c r="D91" s="249"/>
      <c r="E91" s="249"/>
      <c r="F91" s="249"/>
      <c r="G91" s="249"/>
      <c r="H91" s="249"/>
      <c r="I91" s="249"/>
      <c r="J91" s="249"/>
      <c r="K91" s="249"/>
      <c r="L91" s="249"/>
      <c r="M91" s="249"/>
    </row>
    <row r="92" spans="1:13" s="112" customFormat="1" x14ac:dyDescent="0.25">
      <c r="A92" s="249"/>
      <c r="B92" s="249"/>
      <c r="C92" s="249"/>
      <c r="D92" s="249"/>
      <c r="E92" s="249"/>
      <c r="F92" s="249"/>
      <c r="G92" s="249"/>
      <c r="H92" s="249"/>
      <c r="I92" s="249"/>
      <c r="J92" s="249"/>
      <c r="K92" s="249"/>
      <c r="L92" s="249"/>
      <c r="M92" s="249"/>
    </row>
    <row r="93" spans="1:13" s="112" customFormat="1" x14ac:dyDescent="0.25">
      <c r="A93" s="249"/>
      <c r="B93" s="249"/>
      <c r="C93" s="249"/>
      <c r="D93" s="249"/>
      <c r="E93" s="249"/>
      <c r="F93" s="249"/>
      <c r="G93" s="249"/>
      <c r="H93" s="249"/>
      <c r="I93" s="249"/>
      <c r="J93" s="249"/>
      <c r="K93" s="249"/>
      <c r="L93" s="249"/>
      <c r="M93" s="249"/>
    </row>
    <row r="94" spans="1:13" s="112" customFormat="1" x14ac:dyDescent="0.25">
      <c r="A94" s="249"/>
      <c r="B94" s="249"/>
      <c r="C94" s="249"/>
      <c r="D94" s="249"/>
      <c r="E94" s="249"/>
      <c r="F94" s="249"/>
      <c r="G94" s="249"/>
      <c r="H94" s="249"/>
      <c r="I94" s="249"/>
      <c r="J94" s="249"/>
      <c r="K94" s="249"/>
      <c r="L94" s="249"/>
      <c r="M94" s="249"/>
    </row>
    <row r="95" spans="1:13" s="112" customFormat="1" x14ac:dyDescent="0.25">
      <c r="A95" s="249"/>
      <c r="B95" s="249"/>
      <c r="C95" s="249"/>
      <c r="D95" s="249"/>
      <c r="E95" s="249"/>
      <c r="F95" s="249"/>
      <c r="G95" s="249"/>
      <c r="H95" s="249"/>
      <c r="I95" s="249"/>
      <c r="J95" s="249"/>
      <c r="K95" s="249"/>
      <c r="L95" s="249"/>
      <c r="M95" s="249"/>
    </row>
    <row r="96" spans="1:13" s="112" customFormat="1" x14ac:dyDescent="0.25">
      <c r="A96" s="249"/>
      <c r="B96" s="249"/>
      <c r="C96" s="249"/>
      <c r="D96" s="249"/>
      <c r="E96" s="249"/>
      <c r="F96" s="249"/>
      <c r="G96" s="249"/>
      <c r="H96" s="249"/>
      <c r="I96" s="249"/>
      <c r="J96" s="249"/>
      <c r="K96" s="249"/>
      <c r="L96" s="249"/>
      <c r="M96" s="249"/>
    </row>
    <row r="97" spans="1:13" s="112" customFormat="1" x14ac:dyDescent="0.25">
      <c r="A97" s="249"/>
      <c r="B97" s="249"/>
      <c r="C97" s="249"/>
      <c r="D97" s="249"/>
      <c r="E97" s="249"/>
      <c r="F97" s="249"/>
      <c r="G97" s="249"/>
      <c r="H97" s="249"/>
      <c r="I97" s="249"/>
      <c r="J97" s="249"/>
      <c r="K97" s="249"/>
      <c r="L97" s="249"/>
      <c r="M97" s="249"/>
    </row>
    <row r="98" spans="1:13" s="112" customFormat="1" x14ac:dyDescent="0.25">
      <c r="A98" s="249"/>
      <c r="B98" s="249"/>
      <c r="C98" s="249"/>
      <c r="D98" s="249"/>
      <c r="E98" s="249"/>
      <c r="F98" s="249"/>
      <c r="G98" s="249"/>
      <c r="H98" s="249"/>
      <c r="I98" s="249"/>
      <c r="J98" s="249"/>
      <c r="K98" s="249"/>
      <c r="L98" s="249"/>
      <c r="M98" s="249"/>
    </row>
    <row r="99" spans="1:13" s="112" customFormat="1" x14ac:dyDescent="0.25">
      <c r="A99" s="249"/>
      <c r="B99" s="249"/>
      <c r="C99" s="249"/>
      <c r="D99" s="249"/>
      <c r="E99" s="249"/>
      <c r="F99" s="249"/>
      <c r="G99" s="249"/>
      <c r="H99" s="249"/>
      <c r="I99" s="249"/>
      <c r="J99" s="249"/>
      <c r="K99" s="249"/>
      <c r="L99" s="249"/>
      <c r="M99" s="249"/>
    </row>
    <row r="100" spans="1:13" s="112" customFormat="1" x14ac:dyDescent="0.25">
      <c r="A100" s="249"/>
      <c r="B100" s="249"/>
      <c r="C100" s="249"/>
      <c r="D100" s="249"/>
      <c r="E100" s="249"/>
      <c r="F100" s="249"/>
      <c r="G100" s="249"/>
      <c r="H100" s="249"/>
      <c r="I100" s="249"/>
      <c r="J100" s="249"/>
      <c r="K100" s="249"/>
      <c r="L100" s="249"/>
      <c r="M100" s="249"/>
    </row>
    <row r="101" spans="1:13" s="112" customFormat="1" x14ac:dyDescent="0.25">
      <c r="A101" s="249"/>
      <c r="B101" s="249"/>
      <c r="C101" s="249"/>
      <c r="D101" s="249"/>
      <c r="E101" s="249"/>
      <c r="F101" s="249"/>
      <c r="G101" s="249"/>
      <c r="H101" s="249"/>
      <c r="I101" s="249"/>
      <c r="J101" s="249"/>
      <c r="K101" s="249"/>
      <c r="L101" s="249"/>
      <c r="M101" s="249"/>
    </row>
    <row r="102" spans="1:13" s="112" customFormat="1" x14ac:dyDescent="0.25">
      <c r="A102" s="249"/>
      <c r="B102" s="249"/>
      <c r="C102" s="249"/>
      <c r="D102" s="249"/>
      <c r="E102" s="249"/>
      <c r="F102" s="249"/>
      <c r="G102" s="249"/>
      <c r="H102" s="249"/>
      <c r="I102" s="249"/>
      <c r="J102" s="249"/>
      <c r="K102" s="249"/>
      <c r="L102" s="249"/>
      <c r="M102" s="249"/>
    </row>
    <row r="103" spans="1:13" s="112" customFormat="1" x14ac:dyDescent="0.25">
      <c r="A103" s="249"/>
      <c r="B103" s="249"/>
      <c r="C103" s="249"/>
      <c r="D103" s="249"/>
      <c r="E103" s="249"/>
      <c r="F103" s="249"/>
      <c r="G103" s="249"/>
      <c r="H103" s="249"/>
      <c r="I103" s="249"/>
      <c r="J103" s="249"/>
      <c r="K103" s="249"/>
      <c r="L103" s="249"/>
      <c r="M103" s="249"/>
    </row>
    <row r="104" spans="1:13" s="112" customFormat="1" x14ac:dyDescent="0.25">
      <c r="A104" s="249"/>
      <c r="B104" s="249"/>
      <c r="C104" s="249"/>
      <c r="D104" s="249"/>
      <c r="E104" s="249"/>
      <c r="F104" s="249"/>
      <c r="G104" s="249"/>
      <c r="H104" s="249"/>
      <c r="I104" s="249"/>
      <c r="J104" s="249"/>
      <c r="K104" s="249"/>
      <c r="L104" s="249"/>
      <c r="M104" s="249"/>
    </row>
    <row r="105" spans="1:13" s="112" customFormat="1" x14ac:dyDescent="0.25">
      <c r="A105" s="249"/>
      <c r="B105" s="249"/>
      <c r="C105" s="249"/>
      <c r="D105" s="249"/>
      <c r="E105" s="249"/>
      <c r="F105" s="249"/>
      <c r="G105" s="249"/>
      <c r="H105" s="249"/>
      <c r="I105" s="249"/>
      <c r="J105" s="249"/>
      <c r="K105" s="249"/>
      <c r="L105" s="249"/>
      <c r="M105" s="249"/>
    </row>
    <row r="106" spans="1:13" s="112" customFormat="1" x14ac:dyDescent="0.25">
      <c r="A106" s="249"/>
      <c r="B106" s="249"/>
      <c r="C106" s="249"/>
      <c r="D106" s="249"/>
      <c r="E106" s="249"/>
      <c r="F106" s="249"/>
      <c r="G106" s="249"/>
      <c r="H106" s="249"/>
      <c r="I106" s="249"/>
      <c r="J106" s="249"/>
      <c r="K106" s="249"/>
      <c r="L106" s="249"/>
      <c r="M106" s="249"/>
    </row>
    <row r="107" spans="1:13" s="112" customFormat="1" x14ac:dyDescent="0.25">
      <c r="A107" s="249"/>
      <c r="B107" s="249"/>
      <c r="C107" s="249"/>
      <c r="D107" s="249"/>
      <c r="E107" s="249"/>
      <c r="F107" s="249"/>
      <c r="G107" s="249"/>
      <c r="H107" s="249"/>
      <c r="I107" s="249"/>
      <c r="J107" s="249"/>
      <c r="K107" s="249"/>
      <c r="L107" s="249"/>
      <c r="M107" s="249"/>
    </row>
    <row r="108" spans="1:13" s="112" customFormat="1" x14ac:dyDescent="0.25">
      <c r="A108" s="249"/>
      <c r="B108" s="249"/>
      <c r="C108" s="249"/>
      <c r="D108" s="249"/>
      <c r="E108" s="249"/>
      <c r="F108" s="249"/>
      <c r="G108" s="249"/>
      <c r="H108" s="249"/>
      <c r="I108" s="249"/>
      <c r="J108" s="249"/>
      <c r="K108" s="249"/>
      <c r="L108" s="249"/>
      <c r="M108" s="249"/>
    </row>
    <row r="109" spans="1:13" s="112" customFormat="1" x14ac:dyDescent="0.25">
      <c r="A109" s="249"/>
      <c r="B109" s="249"/>
      <c r="C109" s="249"/>
      <c r="D109" s="249"/>
      <c r="E109" s="249"/>
      <c r="F109" s="249"/>
      <c r="G109" s="249"/>
      <c r="H109" s="249"/>
      <c r="I109" s="249"/>
      <c r="J109" s="249"/>
      <c r="K109" s="249"/>
      <c r="L109" s="249"/>
      <c r="M109" s="249"/>
    </row>
    <row r="110" spans="1:13" s="112" customFormat="1" x14ac:dyDescent="0.25">
      <c r="A110" s="249"/>
      <c r="B110" s="249"/>
      <c r="C110" s="249"/>
      <c r="D110" s="249"/>
      <c r="E110" s="249"/>
      <c r="F110" s="249"/>
      <c r="G110" s="249"/>
      <c r="H110" s="249"/>
      <c r="I110" s="249"/>
      <c r="J110" s="249"/>
      <c r="K110" s="249"/>
      <c r="L110" s="249"/>
      <c r="M110" s="249"/>
    </row>
    <row r="111" spans="1:13" s="112" customFormat="1" x14ac:dyDescent="0.25">
      <c r="A111" s="249"/>
      <c r="B111" s="249"/>
      <c r="C111" s="249"/>
      <c r="D111" s="249"/>
      <c r="E111" s="249"/>
      <c r="F111" s="249"/>
      <c r="G111" s="249"/>
      <c r="H111" s="249"/>
      <c r="I111" s="249"/>
      <c r="J111" s="249"/>
      <c r="K111" s="249"/>
      <c r="L111" s="249"/>
      <c r="M111" s="249"/>
    </row>
    <row r="112" spans="1:13" s="112" customFormat="1" x14ac:dyDescent="0.25">
      <c r="A112" s="249"/>
      <c r="B112" s="249"/>
      <c r="C112" s="249"/>
      <c r="D112" s="249"/>
      <c r="E112" s="249"/>
      <c r="F112" s="249"/>
      <c r="G112" s="249"/>
      <c r="H112" s="249"/>
      <c r="I112" s="249"/>
      <c r="J112" s="249"/>
      <c r="K112" s="249"/>
      <c r="L112" s="249"/>
      <c r="M112" s="249"/>
    </row>
    <row r="113" spans="1:13" s="112" customFormat="1" x14ac:dyDescent="0.25">
      <c r="A113" s="249"/>
      <c r="B113" s="249"/>
      <c r="C113" s="249"/>
      <c r="D113" s="249"/>
      <c r="E113" s="249"/>
      <c r="F113" s="249"/>
      <c r="G113" s="249"/>
      <c r="H113" s="249"/>
      <c r="I113" s="249"/>
      <c r="J113" s="249"/>
      <c r="K113" s="249"/>
      <c r="L113" s="249"/>
      <c r="M113" s="249"/>
    </row>
    <row r="114" spans="1:13" s="112" customFormat="1" x14ac:dyDescent="0.25">
      <c r="A114" s="249"/>
      <c r="B114" s="249"/>
      <c r="C114" s="249"/>
      <c r="D114" s="249"/>
      <c r="E114" s="249"/>
      <c r="F114" s="249"/>
      <c r="G114" s="249"/>
      <c r="H114" s="249"/>
      <c r="I114" s="249"/>
      <c r="J114" s="249"/>
      <c r="K114" s="249"/>
      <c r="L114" s="249"/>
      <c r="M114" s="249"/>
    </row>
    <row r="115" spans="1:13" s="112" customFormat="1" x14ac:dyDescent="0.25">
      <c r="A115" s="249"/>
      <c r="B115" s="249"/>
      <c r="C115" s="249"/>
      <c r="D115" s="249"/>
      <c r="E115" s="249"/>
      <c r="F115" s="249"/>
      <c r="G115" s="249"/>
      <c r="H115" s="249"/>
      <c r="I115" s="249"/>
      <c r="J115" s="249"/>
      <c r="K115" s="249"/>
      <c r="L115" s="249"/>
      <c r="M115" s="249"/>
    </row>
    <row r="116" spans="1:13" s="112" customFormat="1" x14ac:dyDescent="0.25">
      <c r="A116" s="249"/>
      <c r="B116" s="249"/>
      <c r="C116" s="249"/>
      <c r="D116" s="249"/>
      <c r="E116" s="249"/>
      <c r="F116" s="249"/>
      <c r="G116" s="249"/>
      <c r="H116" s="249"/>
      <c r="I116" s="249"/>
      <c r="J116" s="249"/>
      <c r="K116" s="249"/>
      <c r="L116" s="249"/>
      <c r="M116" s="249"/>
    </row>
    <row r="117" spans="1:13" s="112" customFormat="1" x14ac:dyDescent="0.25">
      <c r="A117" s="249"/>
      <c r="B117" s="249"/>
      <c r="C117" s="249"/>
      <c r="D117" s="249"/>
      <c r="E117" s="249"/>
      <c r="F117" s="249"/>
      <c r="G117" s="249"/>
      <c r="H117" s="249"/>
      <c r="I117" s="249"/>
      <c r="J117" s="249"/>
      <c r="K117" s="249"/>
      <c r="L117" s="249"/>
      <c r="M117" s="249"/>
    </row>
    <row r="118" spans="1:13" s="112" customFormat="1" x14ac:dyDescent="0.25">
      <c r="A118" s="249"/>
      <c r="B118" s="249"/>
      <c r="C118" s="249"/>
      <c r="D118" s="249"/>
      <c r="E118" s="249"/>
      <c r="F118" s="249"/>
      <c r="G118" s="249"/>
      <c r="H118" s="249"/>
      <c r="I118" s="249"/>
      <c r="J118" s="249"/>
      <c r="K118" s="249"/>
      <c r="L118" s="249"/>
      <c r="M118" s="249"/>
    </row>
    <row r="119" spans="1:13" s="112" customFormat="1" x14ac:dyDescent="0.25">
      <c r="A119" s="249"/>
      <c r="B119" s="249"/>
      <c r="C119" s="249"/>
      <c r="D119" s="249"/>
      <c r="E119" s="249"/>
      <c r="F119" s="249"/>
      <c r="G119" s="249"/>
      <c r="H119" s="249"/>
      <c r="I119" s="249"/>
      <c r="J119" s="249"/>
      <c r="K119" s="249"/>
      <c r="L119" s="249"/>
      <c r="M119" s="249"/>
    </row>
    <row r="120" spans="1:13" s="112" customFormat="1" x14ac:dyDescent="0.25">
      <c r="A120" s="249"/>
      <c r="B120" s="249"/>
      <c r="C120" s="249"/>
      <c r="D120" s="249"/>
      <c r="E120" s="249"/>
      <c r="F120" s="249"/>
      <c r="G120" s="249"/>
      <c r="H120" s="249"/>
      <c r="I120" s="249"/>
      <c r="J120" s="249"/>
      <c r="K120" s="249"/>
      <c r="L120" s="249"/>
      <c r="M120" s="249"/>
    </row>
    <row r="121" spans="1:13" s="112" customFormat="1" x14ac:dyDescent="0.25">
      <c r="A121" s="249"/>
      <c r="B121" s="249"/>
      <c r="C121" s="249"/>
      <c r="D121" s="249"/>
      <c r="E121" s="249"/>
      <c r="F121" s="249"/>
      <c r="G121" s="249"/>
      <c r="H121" s="249"/>
      <c r="I121" s="249"/>
      <c r="J121" s="249"/>
      <c r="K121" s="249"/>
      <c r="L121" s="249"/>
      <c r="M121" s="249"/>
    </row>
    <row r="122" spans="1:13" s="112" customFormat="1" x14ac:dyDescent="0.25">
      <c r="A122" s="249"/>
      <c r="B122" s="249"/>
      <c r="C122" s="249"/>
      <c r="D122" s="249"/>
      <c r="E122" s="249"/>
      <c r="F122" s="249"/>
      <c r="G122" s="249"/>
      <c r="H122" s="249"/>
      <c r="I122" s="249"/>
      <c r="J122" s="249"/>
      <c r="K122" s="249"/>
      <c r="L122" s="249"/>
      <c r="M122" s="249"/>
    </row>
    <row r="123" spans="1:13" s="112" customFormat="1" x14ac:dyDescent="0.25">
      <c r="A123" s="249"/>
      <c r="B123" s="249"/>
      <c r="C123" s="249"/>
      <c r="D123" s="249"/>
      <c r="E123" s="249"/>
      <c r="F123" s="249"/>
      <c r="G123" s="249"/>
      <c r="H123" s="249"/>
      <c r="I123" s="249"/>
      <c r="J123" s="249"/>
      <c r="K123" s="249"/>
      <c r="L123" s="249"/>
      <c r="M123" s="249"/>
    </row>
    <row r="124" spans="1:13" s="112" customFormat="1" x14ac:dyDescent="0.25">
      <c r="A124" s="249"/>
      <c r="B124" s="249"/>
      <c r="C124" s="249"/>
      <c r="D124" s="249"/>
      <c r="E124" s="249"/>
      <c r="F124" s="249"/>
      <c r="G124" s="249"/>
      <c r="H124" s="249"/>
      <c r="I124" s="249"/>
      <c r="J124" s="249"/>
      <c r="K124" s="249"/>
      <c r="L124" s="249"/>
      <c r="M124" s="249"/>
    </row>
    <row r="125" spans="1:13" s="112" customFormat="1" x14ac:dyDescent="0.25">
      <c r="A125" s="249"/>
      <c r="B125" s="249"/>
      <c r="C125" s="249"/>
      <c r="D125" s="249"/>
      <c r="E125" s="249"/>
      <c r="F125" s="249"/>
      <c r="G125" s="249"/>
      <c r="H125" s="249"/>
      <c r="I125" s="249"/>
      <c r="J125" s="249"/>
      <c r="K125" s="249"/>
      <c r="L125" s="249"/>
      <c r="M125" s="249"/>
    </row>
    <row r="126" spans="1:13" s="112" customFormat="1" x14ac:dyDescent="0.25">
      <c r="A126" s="249"/>
      <c r="B126" s="249"/>
      <c r="C126" s="249"/>
      <c r="D126" s="249"/>
      <c r="E126" s="249"/>
      <c r="F126" s="249"/>
      <c r="G126" s="249"/>
      <c r="H126" s="249"/>
      <c r="I126" s="249"/>
      <c r="J126" s="249"/>
      <c r="K126" s="249"/>
      <c r="L126" s="249"/>
      <c r="M126" s="249"/>
    </row>
    <row r="127" spans="1:13" s="112" customFormat="1" x14ac:dyDescent="0.25">
      <c r="A127" s="249"/>
      <c r="B127" s="249"/>
      <c r="C127" s="249"/>
      <c r="D127" s="249"/>
      <c r="E127" s="249"/>
      <c r="F127" s="249"/>
      <c r="G127" s="249"/>
      <c r="H127" s="249"/>
      <c r="I127" s="249"/>
      <c r="J127" s="249"/>
      <c r="K127" s="249"/>
      <c r="L127" s="249"/>
      <c r="M127" s="249"/>
    </row>
    <row r="128" spans="1:13" s="112" customFormat="1" x14ac:dyDescent="0.25">
      <c r="A128" s="249"/>
      <c r="B128" s="249"/>
      <c r="C128" s="249"/>
      <c r="D128" s="249"/>
      <c r="E128" s="249"/>
      <c r="F128" s="249"/>
      <c r="G128" s="249"/>
      <c r="H128" s="249"/>
      <c r="I128" s="249"/>
      <c r="J128" s="249"/>
      <c r="K128" s="249"/>
      <c r="L128" s="249"/>
      <c r="M128" s="249"/>
    </row>
    <row r="129" spans="1:13" s="112" customFormat="1" x14ac:dyDescent="0.25">
      <c r="A129" s="249"/>
      <c r="B129" s="249"/>
      <c r="C129" s="249"/>
      <c r="D129" s="249"/>
      <c r="E129" s="249"/>
      <c r="F129" s="249"/>
      <c r="G129" s="249"/>
      <c r="H129" s="249"/>
      <c r="I129" s="249"/>
      <c r="J129" s="249"/>
      <c r="K129" s="249"/>
      <c r="L129" s="249"/>
      <c r="M129" s="249"/>
    </row>
    <row r="130" spans="1:13" s="112" customFormat="1" x14ac:dyDescent="0.25">
      <c r="A130" s="249"/>
      <c r="B130" s="249"/>
      <c r="C130" s="249"/>
      <c r="D130" s="249"/>
      <c r="E130" s="249"/>
      <c r="F130" s="249"/>
      <c r="G130" s="249"/>
      <c r="H130" s="249"/>
      <c r="I130" s="249"/>
      <c r="J130" s="249"/>
      <c r="K130" s="249"/>
      <c r="L130" s="249"/>
      <c r="M130" s="249"/>
    </row>
    <row r="131" spans="1:13" s="112" customFormat="1" x14ac:dyDescent="0.25">
      <c r="A131" s="249"/>
      <c r="B131" s="249"/>
      <c r="C131" s="249"/>
      <c r="D131" s="249"/>
      <c r="E131" s="249"/>
      <c r="F131" s="249"/>
      <c r="G131" s="249"/>
      <c r="H131" s="249"/>
      <c r="I131" s="249"/>
      <c r="J131" s="249"/>
      <c r="K131" s="249"/>
      <c r="L131" s="249"/>
      <c r="M131" s="249"/>
    </row>
    <row r="132" spans="1:13" s="112" customFormat="1" x14ac:dyDescent="0.25">
      <c r="A132" s="249"/>
      <c r="B132" s="249"/>
      <c r="C132" s="249"/>
      <c r="D132" s="249"/>
      <c r="E132" s="249"/>
      <c r="F132" s="249"/>
      <c r="G132" s="249"/>
      <c r="H132" s="249"/>
      <c r="I132" s="249"/>
      <c r="J132" s="249"/>
      <c r="K132" s="249"/>
      <c r="L132" s="249"/>
      <c r="M132" s="249"/>
    </row>
    <row r="133" spans="1:13" s="112" customFormat="1" x14ac:dyDescent="0.25">
      <c r="A133" s="249"/>
      <c r="B133" s="249"/>
      <c r="C133" s="249"/>
      <c r="D133" s="249"/>
      <c r="E133" s="249"/>
      <c r="F133" s="249"/>
      <c r="G133" s="249"/>
      <c r="H133" s="249"/>
      <c r="I133" s="249"/>
      <c r="J133" s="249"/>
      <c r="K133" s="249"/>
      <c r="L133" s="249"/>
      <c r="M133" s="249"/>
    </row>
    <row r="134" spans="1:13" s="112" customFormat="1" x14ac:dyDescent="0.25">
      <c r="A134" s="249"/>
      <c r="B134" s="249"/>
      <c r="C134" s="249"/>
      <c r="D134" s="249"/>
      <c r="E134" s="249"/>
      <c r="F134" s="249"/>
      <c r="G134" s="249"/>
      <c r="H134" s="249"/>
      <c r="I134" s="249"/>
      <c r="J134" s="249"/>
      <c r="K134" s="249"/>
      <c r="L134" s="249"/>
      <c r="M134" s="249"/>
    </row>
    <row r="135" spans="1:13" s="112" customFormat="1" x14ac:dyDescent="0.25">
      <c r="A135" s="249"/>
      <c r="B135" s="249"/>
      <c r="C135" s="249"/>
      <c r="D135" s="249"/>
      <c r="E135" s="249"/>
      <c r="F135" s="249"/>
      <c r="G135" s="249"/>
      <c r="H135" s="249"/>
      <c r="I135" s="249"/>
      <c r="J135" s="249"/>
      <c r="K135" s="249"/>
      <c r="L135" s="249"/>
      <c r="M135" s="249"/>
    </row>
    <row r="136" spans="1:13" s="112" customFormat="1" x14ac:dyDescent="0.25">
      <c r="A136" s="249"/>
      <c r="B136" s="249"/>
      <c r="C136" s="249"/>
      <c r="D136" s="249"/>
      <c r="E136" s="249"/>
      <c r="F136" s="249"/>
      <c r="G136" s="249"/>
      <c r="H136" s="249"/>
      <c r="I136" s="249"/>
      <c r="J136" s="249"/>
      <c r="K136" s="249"/>
      <c r="L136" s="249"/>
      <c r="M136" s="249"/>
    </row>
    <row r="137" spans="1:13" s="112" customFormat="1" x14ac:dyDescent="0.25">
      <c r="A137" s="249"/>
      <c r="B137" s="249"/>
      <c r="C137" s="249"/>
      <c r="D137" s="249"/>
      <c r="E137" s="249"/>
      <c r="F137" s="249"/>
      <c r="G137" s="249"/>
      <c r="H137" s="249"/>
      <c r="I137" s="249"/>
      <c r="J137" s="249"/>
      <c r="K137" s="249"/>
      <c r="L137" s="249"/>
      <c r="M137" s="249"/>
    </row>
    <row r="138" spans="1:13" s="112" customFormat="1" x14ac:dyDescent="0.25">
      <c r="A138" s="249"/>
      <c r="B138" s="249"/>
      <c r="C138" s="249"/>
      <c r="D138" s="249"/>
      <c r="E138" s="249"/>
      <c r="F138" s="249"/>
      <c r="G138" s="249"/>
      <c r="H138" s="249"/>
      <c r="I138" s="249"/>
      <c r="J138" s="249"/>
      <c r="K138" s="249"/>
      <c r="L138" s="249"/>
      <c r="M138" s="249"/>
    </row>
    <row r="139" spans="1:13" s="112" customFormat="1" x14ac:dyDescent="0.25">
      <c r="A139" s="249"/>
      <c r="B139" s="249"/>
      <c r="C139" s="249"/>
      <c r="D139" s="249"/>
      <c r="E139" s="249"/>
      <c r="F139" s="249"/>
      <c r="G139" s="249"/>
      <c r="H139" s="249"/>
      <c r="I139" s="249"/>
      <c r="J139" s="249"/>
      <c r="K139" s="249"/>
      <c r="L139" s="249"/>
      <c r="M139" s="249"/>
    </row>
    <row r="140" spans="1:13" s="112" customFormat="1" x14ac:dyDescent="0.25">
      <c r="A140" s="249"/>
      <c r="B140" s="249"/>
      <c r="C140" s="249"/>
      <c r="D140" s="249"/>
      <c r="E140" s="249"/>
      <c r="F140" s="249"/>
      <c r="G140" s="249"/>
      <c r="H140" s="249"/>
      <c r="I140" s="249"/>
      <c r="J140" s="249"/>
      <c r="K140" s="249"/>
      <c r="L140" s="249"/>
      <c r="M140" s="249"/>
    </row>
    <row r="141" spans="1:13" s="112" customFormat="1" x14ac:dyDescent="0.25">
      <c r="A141" s="249"/>
      <c r="B141" s="249"/>
      <c r="C141" s="249"/>
      <c r="D141" s="249"/>
      <c r="E141" s="249"/>
      <c r="F141" s="249"/>
      <c r="G141" s="249"/>
      <c r="H141" s="249"/>
      <c r="I141" s="249"/>
      <c r="J141" s="249"/>
      <c r="K141" s="249"/>
      <c r="L141" s="249"/>
      <c r="M141" s="249"/>
    </row>
    <row r="142" spans="1:13" s="112" customFormat="1" x14ac:dyDescent="0.25">
      <c r="A142" s="249"/>
      <c r="B142" s="249"/>
      <c r="C142" s="249"/>
      <c r="D142" s="249"/>
      <c r="E142" s="249"/>
      <c r="F142" s="249"/>
      <c r="G142" s="249"/>
      <c r="H142" s="249"/>
      <c r="I142" s="249"/>
      <c r="J142" s="249"/>
      <c r="K142" s="249"/>
      <c r="L142" s="249"/>
      <c r="M142" s="249"/>
    </row>
    <row r="143" spans="1:13" s="112" customFormat="1" x14ac:dyDescent="0.25">
      <c r="A143" s="249"/>
      <c r="B143" s="249"/>
      <c r="C143" s="249"/>
      <c r="D143" s="249"/>
      <c r="E143" s="249"/>
      <c r="F143" s="249"/>
      <c r="G143" s="249"/>
      <c r="H143" s="249"/>
      <c r="I143" s="249"/>
      <c r="J143" s="249"/>
      <c r="K143" s="249"/>
      <c r="L143" s="249"/>
      <c r="M143" s="249"/>
    </row>
    <row r="144" spans="1:13" s="112" customFormat="1" x14ac:dyDescent="0.25">
      <c r="A144" s="249"/>
      <c r="B144" s="249"/>
      <c r="C144" s="249"/>
      <c r="D144" s="249"/>
      <c r="E144" s="249"/>
      <c r="F144" s="249"/>
      <c r="G144" s="249"/>
      <c r="H144" s="249"/>
      <c r="I144" s="249"/>
      <c r="J144" s="249"/>
      <c r="K144" s="249"/>
      <c r="L144" s="249"/>
      <c r="M144" s="249"/>
    </row>
    <row r="145" spans="1:13" s="112" customFormat="1" x14ac:dyDescent="0.25">
      <c r="A145" s="249"/>
      <c r="B145" s="249"/>
      <c r="C145" s="249"/>
      <c r="D145" s="249"/>
      <c r="E145" s="249"/>
      <c r="F145" s="249"/>
      <c r="G145" s="249"/>
      <c r="H145" s="249"/>
      <c r="I145" s="249"/>
      <c r="J145" s="249"/>
      <c r="K145" s="249"/>
      <c r="L145" s="249"/>
      <c r="M145" s="249"/>
    </row>
    <row r="146" spans="1:13" s="112" customFormat="1" x14ac:dyDescent="0.25">
      <c r="A146" s="249"/>
      <c r="B146" s="249"/>
      <c r="C146" s="249"/>
      <c r="D146" s="249"/>
      <c r="E146" s="249"/>
      <c r="F146" s="249"/>
      <c r="G146" s="249"/>
      <c r="H146" s="249"/>
      <c r="I146" s="249"/>
      <c r="J146" s="249"/>
      <c r="K146" s="249"/>
      <c r="L146" s="249"/>
      <c r="M146" s="249"/>
    </row>
    <row r="147" spans="1:13" s="112" customFormat="1" x14ac:dyDescent="0.25">
      <c r="A147" s="249"/>
      <c r="B147" s="249"/>
      <c r="C147" s="249"/>
      <c r="D147" s="249"/>
      <c r="E147" s="249"/>
      <c r="F147" s="249"/>
      <c r="G147" s="249"/>
      <c r="H147" s="249"/>
      <c r="I147" s="249"/>
      <c r="J147" s="249"/>
      <c r="K147" s="249"/>
      <c r="L147" s="249"/>
      <c r="M147" s="249"/>
    </row>
    <row r="148" spans="1:13" s="112" customFormat="1" x14ac:dyDescent="0.25">
      <c r="A148" s="249"/>
      <c r="B148" s="249"/>
      <c r="C148" s="249"/>
      <c r="D148" s="249"/>
      <c r="E148" s="249"/>
      <c r="F148" s="249"/>
      <c r="G148" s="249"/>
      <c r="H148" s="249"/>
      <c r="I148" s="249"/>
      <c r="J148" s="249"/>
      <c r="K148" s="249"/>
      <c r="L148" s="249"/>
      <c r="M148" s="249"/>
    </row>
    <row r="149" spans="1:13" s="112" customFormat="1" x14ac:dyDescent="0.25">
      <c r="A149" s="249"/>
      <c r="B149" s="249"/>
      <c r="C149" s="249"/>
      <c r="D149" s="249"/>
      <c r="E149" s="249"/>
      <c r="F149" s="249"/>
      <c r="G149" s="249"/>
      <c r="H149" s="249"/>
      <c r="I149" s="249"/>
      <c r="J149" s="249"/>
      <c r="K149" s="249"/>
      <c r="L149" s="249"/>
      <c r="M149" s="249"/>
    </row>
    <row r="150" spans="1:13" s="112" customFormat="1" x14ac:dyDescent="0.25">
      <c r="A150" s="249"/>
      <c r="B150" s="249"/>
      <c r="C150" s="249"/>
      <c r="D150" s="249"/>
      <c r="E150" s="249"/>
      <c r="F150" s="249"/>
      <c r="G150" s="249"/>
      <c r="H150" s="249"/>
      <c r="I150" s="249"/>
      <c r="J150" s="249"/>
      <c r="K150" s="249"/>
      <c r="L150" s="249"/>
      <c r="M150" s="249"/>
    </row>
    <row r="151" spans="1:13" s="112" customFormat="1" x14ac:dyDescent="0.25">
      <c r="A151" s="249"/>
      <c r="B151" s="249"/>
      <c r="C151" s="249"/>
      <c r="D151" s="249"/>
      <c r="E151" s="249"/>
      <c r="F151" s="249"/>
      <c r="G151" s="249"/>
      <c r="H151" s="249"/>
      <c r="I151" s="249"/>
      <c r="J151" s="249"/>
      <c r="K151" s="249"/>
      <c r="L151" s="249"/>
      <c r="M151" s="249"/>
    </row>
    <row r="152" spans="1:13" s="112" customFormat="1" x14ac:dyDescent="0.25">
      <c r="A152" s="249"/>
      <c r="B152" s="249"/>
      <c r="C152" s="249"/>
      <c r="D152" s="249"/>
      <c r="E152" s="249"/>
      <c r="F152" s="249"/>
      <c r="G152" s="249"/>
      <c r="H152" s="249"/>
      <c r="I152" s="249"/>
      <c r="J152" s="249"/>
      <c r="K152" s="249"/>
      <c r="L152" s="249"/>
      <c r="M152" s="249"/>
    </row>
    <row r="153" spans="1:13" s="112" customFormat="1" x14ac:dyDescent="0.25">
      <c r="A153" s="249"/>
      <c r="B153" s="249"/>
      <c r="C153" s="249"/>
      <c r="D153" s="249"/>
      <c r="E153" s="249"/>
      <c r="F153" s="249"/>
      <c r="G153" s="249"/>
      <c r="H153" s="249"/>
      <c r="I153" s="249"/>
      <c r="J153" s="249"/>
      <c r="K153" s="249"/>
      <c r="L153" s="249"/>
      <c r="M153" s="249"/>
    </row>
    <row r="154" spans="1:13" s="112" customFormat="1" x14ac:dyDescent="0.25">
      <c r="A154" s="249"/>
      <c r="B154" s="249"/>
      <c r="C154" s="249"/>
      <c r="D154" s="249"/>
      <c r="E154" s="249"/>
      <c r="F154" s="249"/>
      <c r="G154" s="249"/>
      <c r="H154" s="249"/>
      <c r="I154" s="249"/>
      <c r="J154" s="249"/>
      <c r="K154" s="249"/>
      <c r="L154" s="249"/>
      <c r="M154" s="249"/>
    </row>
    <row r="155" spans="1:13" s="112" customFormat="1" x14ac:dyDescent="0.25">
      <c r="A155" s="249"/>
      <c r="B155" s="249"/>
      <c r="C155" s="249"/>
      <c r="D155" s="249"/>
      <c r="E155" s="249"/>
      <c r="F155" s="249"/>
      <c r="G155" s="249"/>
      <c r="H155" s="249"/>
      <c r="I155" s="249"/>
      <c r="J155" s="249"/>
      <c r="K155" s="249"/>
      <c r="L155" s="249"/>
      <c r="M155" s="249"/>
    </row>
    <row r="156" spans="1:13" s="112" customFormat="1" x14ac:dyDescent="0.25">
      <c r="A156" s="249"/>
      <c r="B156" s="249"/>
      <c r="C156" s="249"/>
      <c r="D156" s="249"/>
      <c r="E156" s="249"/>
      <c r="F156" s="249"/>
      <c r="G156" s="249"/>
      <c r="H156" s="249"/>
      <c r="I156" s="249"/>
      <c r="J156" s="249"/>
      <c r="K156" s="249"/>
      <c r="L156" s="249"/>
      <c r="M156" s="249"/>
    </row>
    <row r="157" spans="1:13" s="112" customFormat="1" x14ac:dyDescent="0.25">
      <c r="A157" s="249"/>
      <c r="B157" s="249"/>
      <c r="C157" s="249"/>
      <c r="D157" s="249"/>
      <c r="E157" s="249"/>
      <c r="F157" s="249"/>
      <c r="G157" s="249"/>
      <c r="H157" s="249"/>
      <c r="I157" s="249"/>
      <c r="J157" s="249"/>
      <c r="K157" s="249"/>
      <c r="L157" s="249"/>
      <c r="M157" s="249"/>
    </row>
    <row r="158" spans="1:13" s="112" customFormat="1" x14ac:dyDescent="0.25">
      <c r="A158" s="249"/>
      <c r="B158" s="249"/>
      <c r="C158" s="249"/>
      <c r="D158" s="249"/>
      <c r="E158" s="249"/>
      <c r="F158" s="249"/>
      <c r="G158" s="249"/>
      <c r="H158" s="249"/>
      <c r="I158" s="249"/>
      <c r="J158" s="249"/>
      <c r="K158" s="249"/>
      <c r="L158" s="249"/>
      <c r="M158" s="249"/>
    </row>
    <row r="159" spans="1:13" s="112" customFormat="1" x14ac:dyDescent="0.25">
      <c r="A159" s="249"/>
      <c r="B159" s="249"/>
      <c r="C159" s="249"/>
      <c r="D159" s="249"/>
      <c r="E159" s="249"/>
      <c r="F159" s="249"/>
      <c r="G159" s="249"/>
      <c r="H159" s="249"/>
      <c r="I159" s="249"/>
      <c r="J159" s="249"/>
      <c r="K159" s="249"/>
      <c r="L159" s="249"/>
      <c r="M159" s="249"/>
    </row>
    <row r="160" spans="1:13" s="112" customFormat="1" x14ac:dyDescent="0.25">
      <c r="A160" s="249"/>
      <c r="B160" s="249"/>
      <c r="C160" s="249"/>
      <c r="D160" s="249"/>
      <c r="E160" s="249"/>
      <c r="F160" s="249"/>
      <c r="G160" s="249"/>
      <c r="H160" s="249"/>
      <c r="I160" s="249"/>
      <c r="J160" s="249"/>
      <c r="K160" s="249"/>
      <c r="L160" s="249"/>
      <c r="M160" s="249"/>
    </row>
    <row r="161" spans="1:13" s="112" customFormat="1" x14ac:dyDescent="0.25">
      <c r="A161" s="249"/>
      <c r="B161" s="249"/>
      <c r="C161" s="249"/>
      <c r="D161" s="249"/>
      <c r="E161" s="249"/>
      <c r="F161" s="249"/>
      <c r="G161" s="249"/>
      <c r="H161" s="249"/>
      <c r="I161" s="249"/>
      <c r="J161" s="249"/>
      <c r="K161" s="249"/>
      <c r="L161" s="249"/>
      <c r="M161" s="249"/>
    </row>
    <row r="162" spans="1:13" s="112" customFormat="1" x14ac:dyDescent="0.25">
      <c r="A162" s="249"/>
      <c r="B162" s="249"/>
      <c r="C162" s="249"/>
      <c r="D162" s="249"/>
      <c r="E162" s="249"/>
      <c r="F162" s="249"/>
      <c r="G162" s="249"/>
      <c r="H162" s="249"/>
      <c r="I162" s="249"/>
      <c r="J162" s="249"/>
      <c r="K162" s="249"/>
      <c r="L162" s="249"/>
      <c r="M162" s="249"/>
    </row>
    <row r="163" spans="1:13" s="112" customFormat="1" x14ac:dyDescent="0.25">
      <c r="A163" s="249"/>
      <c r="B163" s="249"/>
      <c r="C163" s="249"/>
      <c r="D163" s="249"/>
      <c r="E163" s="249"/>
      <c r="F163" s="249"/>
      <c r="G163" s="249"/>
      <c r="H163" s="249"/>
      <c r="I163" s="249"/>
      <c r="J163" s="249"/>
      <c r="K163" s="249"/>
      <c r="L163" s="249"/>
      <c r="M163" s="249"/>
    </row>
    <row r="164" spans="1:13" s="112" customFormat="1" x14ac:dyDescent="0.25">
      <c r="A164" s="249"/>
      <c r="B164" s="249"/>
      <c r="C164" s="249"/>
      <c r="D164" s="249"/>
      <c r="E164" s="249"/>
      <c r="F164" s="249"/>
      <c r="G164" s="249"/>
      <c r="H164" s="249"/>
      <c r="I164" s="249"/>
      <c r="J164" s="249"/>
      <c r="K164" s="249"/>
      <c r="L164" s="249"/>
      <c r="M164" s="249"/>
    </row>
    <row r="165" spans="1:13" s="112" customFormat="1" x14ac:dyDescent="0.25">
      <c r="A165" s="249"/>
      <c r="B165" s="249"/>
      <c r="C165" s="249"/>
      <c r="D165" s="249"/>
      <c r="E165" s="249"/>
      <c r="F165" s="249"/>
      <c r="G165" s="249"/>
      <c r="H165" s="249"/>
      <c r="I165" s="249"/>
      <c r="J165" s="249"/>
      <c r="K165" s="249"/>
      <c r="L165" s="249"/>
      <c r="M165" s="249"/>
    </row>
    <row r="166" spans="1:13" s="112" customFormat="1" x14ac:dyDescent="0.25">
      <c r="A166" s="249"/>
      <c r="B166" s="249"/>
      <c r="C166" s="249"/>
      <c r="D166" s="249"/>
      <c r="E166" s="249"/>
      <c r="F166" s="249"/>
      <c r="G166" s="249"/>
      <c r="H166" s="249"/>
      <c r="I166" s="249"/>
      <c r="J166" s="249"/>
      <c r="K166" s="249"/>
      <c r="L166" s="249"/>
      <c r="M166" s="249"/>
    </row>
    <row r="167" spans="1:13" s="112" customFormat="1" x14ac:dyDescent="0.25">
      <c r="A167" s="249"/>
      <c r="B167" s="249"/>
      <c r="C167" s="249"/>
      <c r="D167" s="249"/>
      <c r="E167" s="249"/>
      <c r="F167" s="249"/>
      <c r="G167" s="249"/>
      <c r="H167" s="249"/>
      <c r="I167" s="249"/>
      <c r="J167" s="249"/>
      <c r="K167" s="249"/>
      <c r="L167" s="249"/>
      <c r="M167" s="249"/>
    </row>
    <row r="168" spans="1:13" s="112" customFormat="1" x14ac:dyDescent="0.25">
      <c r="A168" s="249"/>
      <c r="B168" s="249"/>
      <c r="C168" s="249"/>
      <c r="D168" s="249"/>
      <c r="E168" s="249"/>
      <c r="F168" s="249"/>
      <c r="G168" s="249"/>
      <c r="H168" s="249"/>
      <c r="I168" s="249"/>
      <c r="J168" s="249"/>
      <c r="K168" s="249"/>
      <c r="L168" s="249"/>
      <c r="M168" s="249"/>
    </row>
    <row r="169" spans="1:13" s="112" customFormat="1" x14ac:dyDescent="0.25">
      <c r="A169" s="249"/>
      <c r="B169" s="249"/>
      <c r="C169" s="249"/>
      <c r="D169" s="249"/>
      <c r="E169" s="249"/>
      <c r="F169" s="249"/>
      <c r="G169" s="249"/>
      <c r="H169" s="249"/>
      <c r="I169" s="249"/>
      <c r="J169" s="249"/>
      <c r="K169" s="249"/>
      <c r="L169" s="249"/>
      <c r="M169" s="249"/>
    </row>
    <row r="170" spans="1:13" s="112" customFormat="1" x14ac:dyDescent="0.25">
      <c r="A170" s="249"/>
      <c r="B170" s="249"/>
      <c r="C170" s="249"/>
      <c r="D170" s="249"/>
      <c r="E170" s="249"/>
      <c r="F170" s="249"/>
      <c r="G170" s="249"/>
      <c r="H170" s="249"/>
      <c r="I170" s="249"/>
      <c r="J170" s="249"/>
      <c r="K170" s="249"/>
      <c r="L170" s="249"/>
      <c r="M170" s="249"/>
    </row>
    <row r="171" spans="1:13" s="112" customFormat="1" x14ac:dyDescent="0.25">
      <c r="A171" s="249"/>
      <c r="B171" s="249"/>
      <c r="C171" s="249"/>
      <c r="D171" s="249"/>
      <c r="E171" s="249"/>
      <c r="F171" s="249"/>
      <c r="G171" s="249"/>
      <c r="H171" s="249"/>
      <c r="I171" s="249"/>
      <c r="J171" s="249"/>
      <c r="K171" s="249"/>
      <c r="L171" s="249"/>
      <c r="M171" s="249"/>
    </row>
    <row r="172" spans="1:13" s="112" customFormat="1" x14ac:dyDescent="0.25">
      <c r="A172" s="249"/>
      <c r="B172" s="249"/>
      <c r="C172" s="249"/>
      <c r="D172" s="249"/>
      <c r="E172" s="249"/>
      <c r="F172" s="249"/>
      <c r="G172" s="249"/>
      <c r="H172" s="249"/>
      <c r="I172" s="249"/>
      <c r="J172" s="249"/>
      <c r="K172" s="249"/>
      <c r="L172" s="249"/>
      <c r="M172" s="249"/>
    </row>
    <row r="173" spans="1:13" s="112" customFormat="1" x14ac:dyDescent="0.25">
      <c r="A173" s="249"/>
      <c r="B173" s="249"/>
      <c r="C173" s="249"/>
      <c r="D173" s="249"/>
      <c r="E173" s="249"/>
      <c r="F173" s="249"/>
      <c r="G173" s="249"/>
      <c r="H173" s="249"/>
      <c r="I173" s="249"/>
      <c r="J173" s="249"/>
      <c r="K173" s="249"/>
      <c r="L173" s="249"/>
      <c r="M173" s="249"/>
    </row>
    <row r="174" spans="1:13" s="112" customFormat="1" x14ac:dyDescent="0.25">
      <c r="A174" s="249"/>
      <c r="B174" s="249"/>
      <c r="C174" s="249"/>
      <c r="D174" s="249"/>
      <c r="E174" s="249"/>
      <c r="F174" s="249"/>
      <c r="G174" s="249"/>
      <c r="H174" s="249"/>
      <c r="I174" s="249"/>
      <c r="J174" s="249"/>
      <c r="K174" s="249"/>
      <c r="L174" s="249"/>
      <c r="M174" s="249"/>
    </row>
    <row r="175" spans="1:13" s="112" customFormat="1" x14ac:dyDescent="0.25">
      <c r="A175" s="249"/>
      <c r="B175" s="249"/>
      <c r="C175" s="249"/>
      <c r="D175" s="249"/>
      <c r="E175" s="249"/>
      <c r="F175" s="249"/>
      <c r="G175" s="249"/>
      <c r="H175" s="249"/>
      <c r="I175" s="249"/>
      <c r="J175" s="249"/>
      <c r="K175" s="249"/>
      <c r="L175" s="249"/>
      <c r="M175" s="249"/>
    </row>
    <row r="176" spans="1:13" s="112" customFormat="1" x14ac:dyDescent="0.25">
      <c r="A176" s="249"/>
      <c r="B176" s="249"/>
      <c r="C176" s="249"/>
      <c r="D176" s="249"/>
      <c r="E176" s="249"/>
      <c r="F176" s="249"/>
      <c r="G176" s="249"/>
      <c r="H176" s="249"/>
      <c r="I176" s="249"/>
      <c r="J176" s="249"/>
      <c r="K176" s="249"/>
      <c r="L176" s="249"/>
      <c r="M176" s="249"/>
    </row>
    <row r="177" spans="1:13" s="112" customFormat="1" x14ac:dyDescent="0.25">
      <c r="A177" s="249"/>
      <c r="B177" s="249"/>
      <c r="C177" s="249"/>
      <c r="D177" s="249"/>
      <c r="E177" s="249"/>
      <c r="F177" s="249"/>
      <c r="G177" s="249"/>
      <c r="H177" s="249"/>
      <c r="I177" s="249"/>
      <c r="J177" s="249"/>
      <c r="K177" s="249"/>
      <c r="L177" s="249"/>
      <c r="M177" s="249"/>
    </row>
    <row r="178" spans="1:13" s="112" customFormat="1" x14ac:dyDescent="0.25">
      <c r="A178" s="249"/>
      <c r="B178" s="249"/>
      <c r="C178" s="249"/>
      <c r="D178" s="249"/>
      <c r="E178" s="249"/>
      <c r="F178" s="249"/>
      <c r="G178" s="249"/>
      <c r="H178" s="249"/>
      <c r="I178" s="249"/>
      <c r="J178" s="249"/>
      <c r="K178" s="249"/>
      <c r="L178" s="249"/>
      <c r="M178" s="249"/>
    </row>
    <row r="179" spans="1:13" s="112" customFormat="1" x14ac:dyDescent="0.25">
      <c r="A179" s="249"/>
      <c r="B179" s="249"/>
      <c r="C179" s="249"/>
      <c r="D179" s="249"/>
      <c r="E179" s="249"/>
      <c r="F179" s="249"/>
      <c r="G179" s="249"/>
      <c r="H179" s="249"/>
      <c r="I179" s="249"/>
      <c r="J179" s="249"/>
      <c r="K179" s="249"/>
      <c r="L179" s="249"/>
      <c r="M179" s="249"/>
    </row>
    <row r="180" spans="1:13" s="112" customFormat="1" x14ac:dyDescent="0.25">
      <c r="A180" s="249"/>
      <c r="B180" s="249"/>
      <c r="C180" s="249"/>
      <c r="D180" s="249"/>
      <c r="E180" s="249"/>
      <c r="F180" s="249"/>
      <c r="G180" s="249"/>
      <c r="H180" s="249"/>
      <c r="I180" s="249"/>
      <c r="J180" s="249"/>
      <c r="K180" s="249"/>
      <c r="L180" s="249"/>
      <c r="M180" s="249"/>
    </row>
    <row r="181" spans="1:13" s="112" customFormat="1" x14ac:dyDescent="0.25">
      <c r="A181" s="249"/>
      <c r="B181" s="249"/>
      <c r="C181" s="249"/>
      <c r="D181" s="249"/>
      <c r="E181" s="249"/>
      <c r="F181" s="249"/>
      <c r="G181" s="249"/>
      <c r="H181" s="249"/>
      <c r="I181" s="249"/>
      <c r="J181" s="249"/>
      <c r="K181" s="249"/>
      <c r="L181" s="249"/>
      <c r="M181" s="249"/>
    </row>
    <row r="182" spans="1:13" s="112" customFormat="1" x14ac:dyDescent="0.25">
      <c r="A182" s="249"/>
      <c r="B182" s="249"/>
      <c r="C182" s="249"/>
      <c r="D182" s="249"/>
      <c r="E182" s="249"/>
      <c r="F182" s="249"/>
      <c r="G182" s="249"/>
      <c r="H182" s="249"/>
      <c r="I182" s="249"/>
      <c r="J182" s="249"/>
      <c r="K182" s="249"/>
      <c r="L182" s="249"/>
      <c r="M182" s="249"/>
    </row>
    <row r="183" spans="1:13" s="112" customFormat="1" x14ac:dyDescent="0.25">
      <c r="A183" s="249"/>
      <c r="B183" s="249"/>
      <c r="C183" s="249"/>
      <c r="D183" s="249"/>
      <c r="E183" s="249"/>
      <c r="F183" s="249"/>
      <c r="G183" s="249"/>
      <c r="H183" s="249"/>
      <c r="I183" s="249"/>
      <c r="J183" s="249"/>
      <c r="K183" s="249"/>
      <c r="L183" s="249"/>
      <c r="M183" s="249"/>
    </row>
    <row r="184" spans="1:13" s="112" customFormat="1" x14ac:dyDescent="0.25">
      <c r="A184" s="249"/>
      <c r="B184" s="249"/>
      <c r="C184" s="249"/>
      <c r="D184" s="249"/>
      <c r="E184" s="249"/>
      <c r="F184" s="249"/>
      <c r="G184" s="249"/>
      <c r="H184" s="249"/>
      <c r="I184" s="249"/>
      <c r="J184" s="249"/>
      <c r="K184" s="249"/>
      <c r="L184" s="249"/>
      <c r="M184" s="249"/>
    </row>
    <row r="185" spans="1:13" s="112" customFormat="1" x14ac:dyDescent="0.25">
      <c r="A185" s="249"/>
      <c r="B185" s="249"/>
      <c r="C185" s="249"/>
      <c r="D185" s="249"/>
      <c r="E185" s="249"/>
      <c r="F185" s="249"/>
      <c r="G185" s="249"/>
      <c r="H185" s="249"/>
      <c r="I185" s="249"/>
      <c r="J185" s="249"/>
      <c r="K185" s="249"/>
      <c r="L185" s="249"/>
      <c r="M185" s="249"/>
    </row>
    <row r="186" spans="1:13" s="112" customFormat="1" x14ac:dyDescent="0.25">
      <c r="A186" s="249"/>
      <c r="B186" s="249"/>
      <c r="C186" s="249"/>
      <c r="D186" s="249"/>
      <c r="E186" s="249"/>
      <c r="F186" s="249"/>
      <c r="G186" s="249"/>
      <c r="H186" s="249"/>
      <c r="I186" s="249"/>
      <c r="J186" s="249"/>
      <c r="K186" s="249"/>
      <c r="L186" s="249"/>
      <c r="M186" s="249"/>
    </row>
    <row r="187" spans="1:13" s="112" customFormat="1" x14ac:dyDescent="0.25">
      <c r="A187" s="249"/>
      <c r="B187" s="249"/>
      <c r="C187" s="249"/>
      <c r="D187" s="249"/>
      <c r="E187" s="249"/>
      <c r="F187" s="249"/>
      <c r="G187" s="249"/>
      <c r="H187" s="249"/>
      <c r="I187" s="249"/>
      <c r="J187" s="249"/>
      <c r="K187" s="249"/>
      <c r="L187" s="249"/>
      <c r="M187" s="249"/>
    </row>
    <row r="188" spans="1:13" s="112" customFormat="1" x14ac:dyDescent="0.25">
      <c r="A188" s="249"/>
      <c r="B188" s="249"/>
      <c r="C188" s="249"/>
      <c r="D188" s="249"/>
      <c r="E188" s="249"/>
      <c r="F188" s="249"/>
      <c r="G188" s="249"/>
      <c r="H188" s="249"/>
      <c r="I188" s="249"/>
      <c r="J188" s="249"/>
      <c r="K188" s="249"/>
      <c r="L188" s="249"/>
      <c r="M188" s="249"/>
    </row>
    <row r="189" spans="1:13" s="112" customFormat="1" x14ac:dyDescent="0.25">
      <c r="A189" s="249"/>
      <c r="B189" s="249"/>
      <c r="C189" s="249"/>
      <c r="D189" s="249"/>
      <c r="E189" s="249"/>
      <c r="F189" s="249"/>
      <c r="G189" s="249"/>
      <c r="H189" s="249"/>
      <c r="I189" s="249"/>
      <c r="J189" s="249"/>
      <c r="K189" s="249"/>
      <c r="L189" s="249"/>
      <c r="M189" s="249"/>
    </row>
    <row r="190" spans="1:13" s="112" customFormat="1" x14ac:dyDescent="0.25">
      <c r="A190" s="249"/>
      <c r="B190" s="249"/>
      <c r="C190" s="249"/>
      <c r="D190" s="249"/>
      <c r="E190" s="249"/>
      <c r="F190" s="249"/>
      <c r="G190" s="249"/>
      <c r="H190" s="249"/>
      <c r="I190" s="249"/>
      <c r="J190" s="249"/>
      <c r="K190" s="249"/>
      <c r="L190" s="249"/>
      <c r="M190" s="249"/>
    </row>
    <row r="191" spans="1:13" s="112" customFormat="1" x14ac:dyDescent="0.25">
      <c r="A191" s="249"/>
      <c r="B191" s="249"/>
      <c r="C191" s="249"/>
      <c r="D191" s="249"/>
      <c r="E191" s="249"/>
      <c r="F191" s="249"/>
      <c r="G191" s="249"/>
      <c r="H191" s="249"/>
      <c r="I191" s="249"/>
      <c r="J191" s="249"/>
      <c r="K191" s="249"/>
      <c r="L191" s="249"/>
      <c r="M191" s="249"/>
    </row>
    <row r="192" spans="1:13" s="112" customFormat="1" x14ac:dyDescent="0.25">
      <c r="A192" s="249"/>
      <c r="B192" s="249"/>
      <c r="C192" s="249"/>
      <c r="D192" s="249"/>
      <c r="E192" s="249"/>
      <c r="F192" s="249"/>
      <c r="G192" s="249"/>
      <c r="H192" s="249"/>
      <c r="I192" s="249"/>
      <c r="J192" s="249"/>
      <c r="K192" s="249"/>
      <c r="L192" s="249"/>
      <c r="M192" s="249"/>
    </row>
    <row r="193" spans="1:13" s="112" customFormat="1" x14ac:dyDescent="0.25">
      <c r="A193" s="249"/>
      <c r="B193" s="249"/>
      <c r="C193" s="249"/>
      <c r="D193" s="249"/>
      <c r="E193" s="249"/>
      <c r="F193" s="249"/>
      <c r="G193" s="249"/>
      <c r="H193" s="249"/>
      <c r="I193" s="249"/>
      <c r="J193" s="249"/>
      <c r="K193" s="249"/>
      <c r="L193" s="249"/>
      <c r="M193" s="249"/>
    </row>
    <row r="194" spans="1:13" s="112" customFormat="1" x14ac:dyDescent="0.25">
      <c r="A194" s="249"/>
      <c r="B194" s="249"/>
      <c r="C194" s="249"/>
      <c r="D194" s="249"/>
      <c r="E194" s="249"/>
      <c r="F194" s="249"/>
      <c r="G194" s="249"/>
      <c r="H194" s="249"/>
      <c r="I194" s="249"/>
      <c r="J194" s="249"/>
      <c r="K194" s="249"/>
      <c r="L194" s="249"/>
      <c r="M194" s="249"/>
    </row>
    <row r="195" spans="1:13" s="112" customFormat="1" x14ac:dyDescent="0.25">
      <c r="A195" s="249"/>
      <c r="B195" s="249"/>
      <c r="C195" s="249"/>
      <c r="D195" s="249"/>
      <c r="E195" s="249"/>
      <c r="F195" s="249"/>
      <c r="G195" s="249"/>
      <c r="H195" s="249"/>
      <c r="I195" s="249"/>
      <c r="J195" s="249"/>
      <c r="K195" s="249"/>
      <c r="L195" s="249"/>
      <c r="M195" s="249"/>
    </row>
    <row r="196" spans="1:13" s="112" customFormat="1" x14ac:dyDescent="0.25">
      <c r="A196" s="249"/>
      <c r="B196" s="249"/>
      <c r="C196" s="249"/>
      <c r="D196" s="249"/>
      <c r="E196" s="249"/>
      <c r="F196" s="249"/>
      <c r="G196" s="249"/>
      <c r="H196" s="249"/>
      <c r="I196" s="249"/>
      <c r="J196" s="249"/>
      <c r="K196" s="249"/>
      <c r="L196" s="249"/>
      <c r="M196" s="249"/>
    </row>
    <row r="197" spans="1:13" s="112" customFormat="1" x14ac:dyDescent="0.25">
      <c r="A197" s="249"/>
      <c r="B197" s="249"/>
      <c r="C197" s="249"/>
      <c r="D197" s="249"/>
      <c r="E197" s="249"/>
      <c r="F197" s="249"/>
      <c r="G197" s="249"/>
      <c r="H197" s="249"/>
      <c r="I197" s="249"/>
      <c r="J197" s="249"/>
      <c r="K197" s="249"/>
      <c r="L197" s="249"/>
      <c r="M197" s="249"/>
    </row>
    <row r="198" spans="1:13" s="112" customFormat="1" x14ac:dyDescent="0.25">
      <c r="A198" s="249"/>
      <c r="B198" s="249"/>
      <c r="C198" s="249"/>
      <c r="D198" s="249"/>
      <c r="E198" s="249"/>
      <c r="F198" s="249"/>
      <c r="G198" s="249"/>
      <c r="H198" s="249"/>
      <c r="I198" s="249"/>
      <c r="J198" s="249"/>
      <c r="K198" s="249"/>
      <c r="L198" s="249"/>
      <c r="M198" s="249"/>
    </row>
    <row r="199" spans="1:13" s="112" customFormat="1" x14ac:dyDescent="0.25">
      <c r="A199" s="249"/>
      <c r="B199" s="249"/>
      <c r="C199" s="249"/>
      <c r="D199" s="249"/>
      <c r="E199" s="249"/>
      <c r="F199" s="249"/>
      <c r="G199" s="249"/>
      <c r="H199" s="249"/>
      <c r="I199" s="249"/>
      <c r="J199" s="249"/>
      <c r="K199" s="249"/>
      <c r="L199" s="249"/>
      <c r="M199" s="249"/>
    </row>
    <row r="200" spans="1:13" s="112" customFormat="1" x14ac:dyDescent="0.25">
      <c r="A200" s="249"/>
      <c r="B200" s="249"/>
      <c r="C200" s="249"/>
      <c r="D200" s="249"/>
      <c r="E200" s="249"/>
      <c r="F200" s="249"/>
      <c r="G200" s="249"/>
      <c r="H200" s="249"/>
      <c r="I200" s="249"/>
      <c r="J200" s="249"/>
      <c r="K200" s="249"/>
      <c r="L200" s="249"/>
      <c r="M200" s="249"/>
    </row>
    <row r="201" spans="1:13" s="112" customFormat="1" x14ac:dyDescent="0.25">
      <c r="A201" s="249"/>
      <c r="B201" s="249"/>
      <c r="C201" s="249"/>
      <c r="D201" s="249"/>
      <c r="E201" s="249"/>
      <c r="F201" s="249"/>
      <c r="G201" s="249"/>
      <c r="H201" s="249"/>
      <c r="I201" s="249"/>
      <c r="J201" s="249"/>
      <c r="K201" s="249"/>
      <c r="L201" s="249"/>
      <c r="M201" s="249"/>
    </row>
    <row r="202" spans="1:13" s="112" customFormat="1" x14ac:dyDescent="0.25">
      <c r="A202" s="249"/>
      <c r="B202" s="249"/>
      <c r="C202" s="249"/>
      <c r="D202" s="249"/>
      <c r="E202" s="249"/>
      <c r="F202" s="249"/>
      <c r="G202" s="249"/>
      <c r="H202" s="249"/>
      <c r="I202" s="249"/>
      <c r="J202" s="249"/>
      <c r="K202" s="249"/>
      <c r="L202" s="249"/>
      <c r="M202" s="249"/>
    </row>
    <row r="203" spans="1:13" s="112" customFormat="1" x14ac:dyDescent="0.25">
      <c r="A203" s="249"/>
      <c r="B203" s="249"/>
      <c r="C203" s="249"/>
      <c r="D203" s="249"/>
      <c r="E203" s="249"/>
      <c r="F203" s="249"/>
      <c r="G203" s="249"/>
      <c r="H203" s="249"/>
      <c r="I203" s="249"/>
      <c r="J203" s="249"/>
      <c r="K203" s="249"/>
      <c r="L203" s="249"/>
      <c r="M203" s="249"/>
    </row>
    <row r="204" spans="1:13" s="112" customFormat="1" x14ac:dyDescent="0.25">
      <c r="A204" s="249"/>
      <c r="B204" s="249"/>
      <c r="C204" s="249"/>
      <c r="D204" s="249"/>
      <c r="E204" s="249"/>
      <c r="F204" s="249"/>
      <c r="G204" s="249"/>
      <c r="H204" s="249"/>
      <c r="I204" s="249"/>
      <c r="J204" s="249"/>
      <c r="K204" s="249"/>
      <c r="L204" s="249"/>
      <c r="M204" s="249"/>
    </row>
    <row r="205" spans="1:13" s="112" customFormat="1" x14ac:dyDescent="0.25">
      <c r="A205" s="249"/>
      <c r="B205" s="249"/>
      <c r="C205" s="249"/>
      <c r="D205" s="249"/>
      <c r="E205" s="249"/>
      <c r="F205" s="249"/>
      <c r="G205" s="249"/>
      <c r="H205" s="249"/>
      <c r="I205" s="249"/>
      <c r="J205" s="249"/>
      <c r="K205" s="249"/>
      <c r="L205" s="249"/>
      <c r="M205" s="249"/>
    </row>
    <row r="206" spans="1:13" s="112" customFormat="1" x14ac:dyDescent="0.25">
      <c r="A206" s="249"/>
      <c r="B206" s="249"/>
      <c r="C206" s="249"/>
      <c r="D206" s="249"/>
      <c r="E206" s="249"/>
      <c r="F206" s="249"/>
      <c r="G206" s="249"/>
      <c r="H206" s="249"/>
      <c r="I206" s="249"/>
      <c r="J206" s="249"/>
      <c r="K206" s="249"/>
      <c r="L206" s="249"/>
      <c r="M206" s="249"/>
    </row>
    <row r="207" spans="1:13" x14ac:dyDescent="0.25">
      <c r="A207" s="248"/>
      <c r="B207" s="248"/>
      <c r="C207" s="248"/>
      <c r="D207" s="248"/>
      <c r="E207" s="248"/>
      <c r="F207" s="248"/>
      <c r="G207" s="248"/>
      <c r="H207" s="248"/>
      <c r="I207" s="248"/>
      <c r="J207" s="248"/>
      <c r="K207" s="248"/>
      <c r="L207" s="249"/>
      <c r="M207" s="249"/>
    </row>
    <row r="208" spans="1:13" x14ac:dyDescent="0.25">
      <c r="A208" s="248"/>
      <c r="B208" s="248"/>
      <c r="C208" s="248"/>
      <c r="D208" s="248"/>
      <c r="E208" s="248"/>
      <c r="F208" s="248"/>
      <c r="G208" s="248"/>
      <c r="H208" s="248"/>
      <c r="I208" s="248"/>
      <c r="J208" s="248"/>
      <c r="K208" s="248"/>
      <c r="L208" s="249"/>
      <c r="M208" s="249"/>
    </row>
    <row r="209" spans="1:13" x14ac:dyDescent="0.25">
      <c r="A209" s="248"/>
      <c r="B209" s="248"/>
      <c r="C209" s="248"/>
      <c r="D209" s="248"/>
      <c r="E209" s="248"/>
      <c r="F209" s="248"/>
      <c r="G209" s="248"/>
      <c r="H209" s="248"/>
      <c r="I209" s="248"/>
      <c r="J209" s="248"/>
      <c r="K209" s="248"/>
      <c r="L209" s="249"/>
      <c r="M209" s="249"/>
    </row>
    <row r="210" spans="1:13" x14ac:dyDescent="0.25">
      <c r="A210" s="248"/>
      <c r="B210" s="248"/>
      <c r="C210" s="248"/>
      <c r="D210" s="248"/>
      <c r="E210" s="248"/>
      <c r="F210" s="248"/>
      <c r="G210" s="248"/>
      <c r="H210" s="248"/>
      <c r="I210" s="248"/>
      <c r="J210" s="248"/>
      <c r="K210" s="248"/>
      <c r="L210" s="249"/>
      <c r="M210" s="249"/>
    </row>
    <row r="211" spans="1:13" x14ac:dyDescent="0.25">
      <c r="A211" s="248"/>
      <c r="B211" s="248"/>
      <c r="C211" s="248"/>
      <c r="D211" s="248"/>
      <c r="E211" s="248"/>
      <c r="F211" s="248"/>
      <c r="G211" s="248"/>
      <c r="H211" s="248"/>
      <c r="I211" s="248"/>
      <c r="J211" s="248"/>
      <c r="K211" s="248"/>
      <c r="L211" s="249"/>
      <c r="M211" s="249"/>
    </row>
    <row r="212" spans="1:13" x14ac:dyDescent="0.25">
      <c r="A212" s="248"/>
      <c r="B212" s="248"/>
      <c r="C212" s="248"/>
      <c r="D212" s="248"/>
      <c r="E212" s="248"/>
      <c r="F212" s="248"/>
      <c r="G212" s="248"/>
      <c r="H212" s="248"/>
      <c r="I212" s="248"/>
      <c r="J212" s="248"/>
      <c r="K212" s="248"/>
      <c r="L212" s="249"/>
      <c r="M212" s="249"/>
    </row>
    <row r="213" spans="1:13" x14ac:dyDescent="0.25">
      <c r="A213" s="248"/>
      <c r="B213" s="248"/>
      <c r="C213" s="248"/>
      <c r="D213" s="248"/>
      <c r="E213" s="248"/>
      <c r="F213" s="248"/>
      <c r="G213" s="248"/>
      <c r="H213" s="248"/>
      <c r="I213" s="248"/>
      <c r="J213" s="248"/>
      <c r="K213" s="248"/>
      <c r="L213" s="249"/>
      <c r="M213" s="249"/>
    </row>
    <row r="214" spans="1:13" x14ac:dyDescent="0.25">
      <c r="A214" s="248"/>
      <c r="B214" s="248"/>
      <c r="C214" s="248"/>
      <c r="D214" s="248"/>
      <c r="E214" s="248"/>
      <c r="F214" s="248"/>
      <c r="G214" s="248"/>
      <c r="H214" s="248"/>
      <c r="I214" s="248"/>
      <c r="J214" s="248"/>
      <c r="K214" s="248"/>
      <c r="L214" s="249"/>
      <c r="M214" s="249"/>
    </row>
    <row r="215" spans="1:13" x14ac:dyDescent="0.25">
      <c r="A215" s="248"/>
      <c r="B215" s="248"/>
      <c r="C215" s="248"/>
      <c r="D215" s="248"/>
      <c r="E215" s="248"/>
      <c r="F215" s="248"/>
      <c r="G215" s="248"/>
      <c r="H215" s="248"/>
      <c r="I215" s="248"/>
      <c r="J215" s="248"/>
      <c r="K215" s="248"/>
      <c r="L215" s="249"/>
      <c r="M215" s="249"/>
    </row>
  </sheetData>
  <mergeCells count="1">
    <mergeCell ref="A1:K40"/>
  </mergeCells>
  <pageMargins left="0.7" right="0.7" top="0.75" bottom="0.75" header="0.3" footer="0.3"/>
  <pageSetup scale="90" orientation="portrait" r:id="rId1"/>
  <rowBreaks count="1" manualBreakCount="1">
    <brk id="40" max="16383" man="1"/>
  </rowBreaks>
  <colBreaks count="1" manualBreakCount="1">
    <brk id="11" max="1048575" man="1"/>
  </colBreaks>
  <drawing r:id="rId2"/>
  <legacyDrawing r:id="rId3"/>
  <controls>
    <mc:AlternateContent xmlns:mc="http://schemas.openxmlformats.org/markup-compatibility/2006">
      <mc:Choice Requires="x14">
        <control shapeId="4102" r:id="rId4" name="TextBox4">
          <controlPr defaultSize="0" autoLine="0" autoPict="0" r:id="rId5">
            <anchor moveWithCells="1">
              <from>
                <xdr:col>1</xdr:col>
                <xdr:colOff>266700</xdr:colOff>
                <xdr:row>35</xdr:row>
                <xdr:rowOff>161925</xdr:rowOff>
              </from>
              <to>
                <xdr:col>9</xdr:col>
                <xdr:colOff>342900</xdr:colOff>
                <xdr:row>38</xdr:row>
                <xdr:rowOff>0</xdr:rowOff>
              </to>
            </anchor>
          </controlPr>
        </control>
      </mc:Choice>
      <mc:Fallback>
        <control shapeId="4102" r:id="rId4" name="TextBox4"/>
      </mc:Fallback>
    </mc:AlternateContent>
    <mc:AlternateContent xmlns:mc="http://schemas.openxmlformats.org/markup-compatibility/2006">
      <mc:Choice Requires="x14">
        <control shapeId="4101" r:id="rId6" name="TextBox3">
          <controlPr defaultSize="0" autoLine="0" r:id="rId7">
            <anchor moveWithCells="1">
              <from>
                <xdr:col>1</xdr:col>
                <xdr:colOff>285750</xdr:colOff>
                <xdr:row>31</xdr:row>
                <xdr:rowOff>171450</xdr:rowOff>
              </from>
              <to>
                <xdr:col>9</xdr:col>
                <xdr:colOff>361950</xdr:colOff>
                <xdr:row>33</xdr:row>
                <xdr:rowOff>161925</xdr:rowOff>
              </to>
            </anchor>
          </controlPr>
        </control>
      </mc:Choice>
      <mc:Fallback>
        <control shapeId="4101" r:id="rId6" name="TextBox3"/>
      </mc:Fallback>
    </mc:AlternateContent>
    <mc:AlternateContent xmlns:mc="http://schemas.openxmlformats.org/markup-compatibility/2006">
      <mc:Choice Requires="x14">
        <control shapeId="4100" r:id="rId8" name="TextBox2">
          <controlPr defaultSize="0" autoLine="0" r:id="rId7">
            <anchor moveWithCells="1">
              <from>
                <xdr:col>1</xdr:col>
                <xdr:colOff>276225</xdr:colOff>
                <xdr:row>27</xdr:row>
                <xdr:rowOff>180975</xdr:rowOff>
              </from>
              <to>
                <xdr:col>9</xdr:col>
                <xdr:colOff>352425</xdr:colOff>
                <xdr:row>29</xdr:row>
                <xdr:rowOff>171450</xdr:rowOff>
              </to>
            </anchor>
          </controlPr>
        </control>
      </mc:Choice>
      <mc:Fallback>
        <control shapeId="4100" r:id="rId8" name="TextBox2"/>
      </mc:Fallback>
    </mc:AlternateContent>
    <mc:AlternateContent xmlns:mc="http://schemas.openxmlformats.org/markup-compatibility/2006">
      <mc:Choice Requires="x14">
        <control shapeId="4099" r:id="rId9" name="TextBox1">
          <controlPr defaultSize="0" autoLine="0" autoPict="0" r:id="rId7">
            <anchor moveWithCells="1">
              <from>
                <xdr:col>1</xdr:col>
                <xdr:colOff>266700</xdr:colOff>
                <xdr:row>23</xdr:row>
                <xdr:rowOff>180975</xdr:rowOff>
              </from>
              <to>
                <xdr:col>9</xdr:col>
                <xdr:colOff>342900</xdr:colOff>
                <xdr:row>25</xdr:row>
                <xdr:rowOff>171450</xdr:rowOff>
              </to>
            </anchor>
          </controlPr>
        </control>
      </mc:Choice>
      <mc:Fallback>
        <control shapeId="4099" r:id="rId9" name="TextBox1"/>
      </mc:Fallback>
    </mc:AlternateContent>
    <mc:AlternateContent xmlns:mc="http://schemas.openxmlformats.org/markup-compatibility/2006">
      <mc:Choice Requires="x14">
        <control shapeId="4097" r:id="rId10" name="Check Box 1">
          <controlPr defaultSize="0" autoFill="0" autoLine="0" autoPict="0">
            <anchor moveWithCells="1">
              <from>
                <xdr:col>1</xdr:col>
                <xdr:colOff>114300</xdr:colOff>
                <xdr:row>10</xdr:row>
                <xdr:rowOff>161925</xdr:rowOff>
              </from>
              <to>
                <xdr:col>1</xdr:col>
                <xdr:colOff>419100</xdr:colOff>
                <xdr:row>12</xdr:row>
                <xdr:rowOff>47625</xdr:rowOff>
              </to>
            </anchor>
          </controlPr>
        </control>
      </mc:Choice>
    </mc:AlternateContent>
    <mc:AlternateContent xmlns:mc="http://schemas.openxmlformats.org/markup-compatibility/2006">
      <mc:Choice Requires="x14">
        <control shapeId="4098" r:id="rId11" name="Check Box 2">
          <controlPr defaultSize="0" autoFill="0" autoLine="0" autoPict="0">
            <anchor moveWithCells="1">
              <from>
                <xdr:col>0</xdr:col>
                <xdr:colOff>161925</xdr:colOff>
                <xdr:row>13</xdr:row>
                <xdr:rowOff>66675</xdr:rowOff>
              </from>
              <to>
                <xdr:col>0</xdr:col>
                <xdr:colOff>476250</xdr:colOff>
                <xdr:row>15</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352"/>
  <sheetViews>
    <sheetView zoomScale="85" zoomScaleNormal="85" workbookViewId="0">
      <selection activeCell="A15" sqref="A15"/>
    </sheetView>
  </sheetViews>
  <sheetFormatPr defaultRowHeight="15" x14ac:dyDescent="0.25"/>
  <cols>
    <col min="1" max="1" width="15.28515625" bestFit="1" customWidth="1"/>
    <col min="3" max="3" width="16.42578125" bestFit="1" customWidth="1"/>
    <col min="4" max="4" width="12.5703125" bestFit="1" customWidth="1"/>
    <col min="5" max="5" width="13.7109375" bestFit="1" customWidth="1"/>
    <col min="6" max="6" width="9.85546875" bestFit="1" customWidth="1"/>
    <col min="7" max="7" width="14.42578125" bestFit="1" customWidth="1"/>
    <col min="8" max="8" width="10.5703125" bestFit="1" customWidth="1"/>
    <col min="9" max="9" width="17.28515625" bestFit="1" customWidth="1"/>
    <col min="10" max="10" width="10.7109375" bestFit="1" customWidth="1"/>
    <col min="11" max="11" width="13.28515625" bestFit="1" customWidth="1"/>
    <col min="12" max="12" width="10.7109375" customWidth="1"/>
    <col min="13" max="13" width="54.28515625" bestFit="1" customWidth="1"/>
    <col min="14" max="14" width="13.5703125" bestFit="1" customWidth="1"/>
    <col min="15" max="18" width="13.5703125" customWidth="1"/>
    <col min="19" max="19" width="52" bestFit="1" customWidth="1"/>
    <col min="20" max="20" width="7" style="101" bestFit="1" customWidth="1"/>
    <col min="21" max="21" width="255.7109375" bestFit="1" customWidth="1"/>
    <col min="25" max="26" width="8.85546875" style="108"/>
  </cols>
  <sheetData>
    <row r="1" spans="1:26" x14ac:dyDescent="0.25">
      <c r="A1" s="3" t="s">
        <v>288</v>
      </c>
      <c r="B1" t="s">
        <v>289</v>
      </c>
      <c r="C1" s="215" t="s">
        <v>268</v>
      </c>
      <c r="D1" s="215"/>
      <c r="E1" s="215"/>
      <c r="F1" s="215"/>
      <c r="G1" s="215"/>
      <c r="H1" s="215"/>
      <c r="K1" s="216" t="s">
        <v>662</v>
      </c>
      <c r="L1" s="216"/>
      <c r="M1" s="216"/>
      <c r="N1" s="216"/>
      <c r="O1" s="216"/>
      <c r="P1" s="216"/>
      <c r="Q1" s="216"/>
      <c r="R1" s="106"/>
    </row>
    <row r="2" spans="1:26" x14ac:dyDescent="0.25">
      <c r="A2" t="s">
        <v>161</v>
      </c>
      <c r="B2" t="s">
        <v>159</v>
      </c>
      <c r="C2" s="86" t="s">
        <v>269</v>
      </c>
      <c r="D2" s="86" t="s">
        <v>270</v>
      </c>
      <c r="E2" s="87" t="s">
        <v>271</v>
      </c>
      <c r="F2" s="87" t="s">
        <v>272</v>
      </c>
      <c r="G2" s="86" t="s">
        <v>273</v>
      </c>
      <c r="H2" s="86" t="s">
        <v>274</v>
      </c>
      <c r="I2" s="3" t="s">
        <v>346</v>
      </c>
      <c r="J2" s="3" t="s">
        <v>345</v>
      </c>
      <c r="K2" s="102" t="s">
        <v>664</v>
      </c>
      <c r="L2" s="103" t="s">
        <v>658</v>
      </c>
      <c r="M2" s="102" t="s">
        <v>657</v>
      </c>
      <c r="N2" s="103" t="s">
        <v>659</v>
      </c>
      <c r="O2" s="103" t="s">
        <v>660</v>
      </c>
      <c r="P2" s="103" t="s">
        <v>661</v>
      </c>
      <c r="Q2" s="103" t="s">
        <v>663</v>
      </c>
      <c r="R2" s="103" t="s">
        <v>665</v>
      </c>
      <c r="S2" t="s">
        <v>653</v>
      </c>
      <c r="T2" s="101" t="s">
        <v>348</v>
      </c>
      <c r="U2" t="s">
        <v>400</v>
      </c>
      <c r="V2" t="s">
        <v>654</v>
      </c>
      <c r="W2" t="s">
        <v>655</v>
      </c>
      <c r="X2" t="s">
        <v>656</v>
      </c>
      <c r="Y2" s="108" t="s">
        <v>666</v>
      </c>
      <c r="Z2" s="108" t="s">
        <v>667</v>
      </c>
    </row>
    <row r="3" spans="1:26" x14ac:dyDescent="0.25">
      <c r="A3" t="s">
        <v>162</v>
      </c>
      <c r="B3" t="s">
        <v>160</v>
      </c>
      <c r="C3" s="88" t="s">
        <v>275</v>
      </c>
      <c r="D3" s="88">
        <v>1</v>
      </c>
      <c r="E3" s="89">
        <v>1</v>
      </c>
      <c r="F3" s="89">
        <v>1</v>
      </c>
      <c r="G3" s="88">
        <v>2013</v>
      </c>
      <c r="H3" s="88">
        <v>1</v>
      </c>
      <c r="I3" s="98" t="s">
        <v>293</v>
      </c>
      <c r="J3" t="s">
        <v>349</v>
      </c>
      <c r="K3" s="107" t="s">
        <v>235</v>
      </c>
      <c r="L3" s="104" t="s">
        <v>349</v>
      </c>
      <c r="M3" s="104" t="s">
        <v>442</v>
      </c>
      <c r="N3" s="104">
        <v>1</v>
      </c>
      <c r="O3" s="104" t="str">
        <f>IF(ISNUMBER(SEARCH($K$4, L3)), N3, "")</f>
        <v/>
      </c>
      <c r="P3" s="104" t="str">
        <f>IFERROR(SMALL($O$3:$O$352, N3), "")</f>
        <v/>
      </c>
      <c r="Q3" s="104" t="str">
        <f>IFERROR(INDEX($M$3:M$350, $P3, COLUMNS($Q$3:Q350)),"")</f>
        <v/>
      </c>
      <c r="R3" s="108" t="s">
        <v>235</v>
      </c>
      <c r="S3" t="s">
        <v>401</v>
      </c>
      <c r="T3" s="101">
        <v>50211</v>
      </c>
      <c r="U3" t="s">
        <v>402</v>
      </c>
      <c r="V3">
        <v>1</v>
      </c>
      <c r="W3">
        <f>IF(ISNUMBER(SEARCH($R$3, S3)), V3, "")</f>
        <v>1</v>
      </c>
      <c r="X3">
        <f>IFERROR(SMALL($W$3:$W$165, V3), "")</f>
        <v>1</v>
      </c>
      <c r="Y3" s="108">
        <f>IFERROR(INDEX($T$3:U$352, $X3, COLUMNS($Y$3:Y3)), "")</f>
        <v>50211</v>
      </c>
      <c r="Z3" s="108" t="str">
        <f>IFERROR(INDEX($T$3:V$352, $X3, COLUMNS($Y$3:Z3)), "")</f>
        <v>Alameda Hospital (Alameda)</v>
      </c>
    </row>
    <row r="4" spans="1:26" x14ac:dyDescent="0.25">
      <c r="A4" t="s">
        <v>163</v>
      </c>
      <c r="B4" t="s">
        <v>166</v>
      </c>
      <c r="C4" s="88" t="s">
        <v>276</v>
      </c>
      <c r="D4" s="88">
        <v>2</v>
      </c>
      <c r="E4" s="89">
        <v>2</v>
      </c>
      <c r="F4" s="89">
        <v>2</v>
      </c>
      <c r="G4" s="88">
        <v>2014</v>
      </c>
      <c r="H4" s="88">
        <v>2</v>
      </c>
      <c r="I4" t="s">
        <v>294</v>
      </c>
      <c r="J4" t="s">
        <v>350</v>
      </c>
      <c r="K4" s="105" t="e">
        <f>VLOOKUP($K$3, $I$3:J$53, 2)</f>
        <v>#N/A</v>
      </c>
      <c r="L4" s="104" t="s">
        <v>349</v>
      </c>
      <c r="M4" s="104" t="s">
        <v>609</v>
      </c>
      <c r="N4" s="104">
        <v>2</v>
      </c>
      <c r="O4" s="104" t="str">
        <f t="shared" ref="O4:O67" si="0">IF(ISNUMBER(SEARCH($K$4, L4)), N4, "")</f>
        <v/>
      </c>
      <c r="P4" s="104" t="str">
        <f t="shared" ref="P4:P67" si="1">IFERROR(SMALL($O$3:$O$352, N4), "")</f>
        <v/>
      </c>
      <c r="Q4" s="104" t="str">
        <f>IFERROR(INDEX($M$3:M$350, $P4, COLUMNS($Q$3:Q351)),"")</f>
        <v/>
      </c>
      <c r="R4" s="104"/>
      <c r="S4" t="s">
        <v>401</v>
      </c>
      <c r="T4" s="101">
        <v>50320</v>
      </c>
      <c r="U4" t="s">
        <v>403</v>
      </c>
      <c r="V4">
        <v>2</v>
      </c>
      <c r="W4">
        <f t="shared" ref="W4:W67" si="2">IF(ISNUMBER(SEARCH($R$3, S4)), V4, "")</f>
        <v>2</v>
      </c>
      <c r="X4">
        <f>IFERROR(SMALL($W$3:$W$165, V4), "")</f>
        <v>2</v>
      </c>
      <c r="Y4" s="108">
        <f>IFERROR(INDEX($T$3:U$352, $X4, COLUMNS($Y$3:Y4)), "")</f>
        <v>50320</v>
      </c>
      <c r="Z4" s="108" t="str">
        <f>IFERROR(INDEX($T$3:V$352, $X4, COLUMNS($Y$3:Z4)), "")</f>
        <v>Fairmont Hospital (San Leandro); Highland Hospital (Oakland); John George Psychiatric Hospital (San Leandro)</v>
      </c>
    </row>
    <row r="5" spans="1:26" x14ac:dyDescent="0.25">
      <c r="C5" s="88" t="s">
        <v>277</v>
      </c>
      <c r="D5" s="88">
        <v>3</v>
      </c>
      <c r="E5" s="89">
        <v>3</v>
      </c>
      <c r="F5" s="89">
        <v>3</v>
      </c>
      <c r="G5" s="88">
        <v>2015</v>
      </c>
      <c r="H5" s="88">
        <v>3</v>
      </c>
      <c r="I5" t="s">
        <v>295</v>
      </c>
      <c r="J5" t="s">
        <v>351</v>
      </c>
      <c r="K5" s="104"/>
      <c r="L5" s="104" t="s">
        <v>349</v>
      </c>
      <c r="M5" s="104" t="s">
        <v>634</v>
      </c>
      <c r="N5" s="104">
        <v>3</v>
      </c>
      <c r="O5" s="104" t="str">
        <f t="shared" si="0"/>
        <v/>
      </c>
      <c r="P5" s="104" t="str">
        <f t="shared" si="1"/>
        <v/>
      </c>
      <c r="Q5" s="104" t="str">
        <f>IFERROR(INDEX($M$3:M$350, $P5, COLUMNS($Q$3:Q352)),"")</f>
        <v/>
      </c>
      <c r="R5" s="104"/>
      <c r="S5" t="s">
        <v>401</v>
      </c>
      <c r="T5" s="101">
        <v>50773</v>
      </c>
      <c r="U5" t="s">
        <v>404</v>
      </c>
      <c r="V5">
        <v>3</v>
      </c>
      <c r="W5">
        <f t="shared" si="2"/>
        <v>3</v>
      </c>
      <c r="X5">
        <f t="shared" ref="X5:X68" si="3">IFERROR(SMALL($W$3:$W$165, V5), "")</f>
        <v>3</v>
      </c>
      <c r="Y5" s="108">
        <f>IFERROR(INDEX($T$3:U$352, $X5, COLUMNS($Y$3:Y5)), "")</f>
        <v>50773</v>
      </c>
      <c r="Z5" s="108" t="str">
        <f>IFERROR(INDEX($T$3:V$352, $X5, COLUMNS($Y$3:Z5)), "")</f>
        <v>San Leandro Hospital (Oakland)</v>
      </c>
    </row>
    <row r="6" spans="1:26" x14ac:dyDescent="0.25">
      <c r="C6" s="88" t="s">
        <v>278</v>
      </c>
      <c r="D6" s="88">
        <v>4</v>
      </c>
      <c r="E6" s="89">
        <v>4</v>
      </c>
      <c r="F6" s="89">
        <v>4</v>
      </c>
      <c r="G6" s="88" t="s">
        <v>279</v>
      </c>
      <c r="H6" s="88">
        <v>0</v>
      </c>
      <c r="I6" t="s">
        <v>296</v>
      </c>
      <c r="J6" t="s">
        <v>352</v>
      </c>
      <c r="K6" s="104"/>
      <c r="L6" s="104" t="s">
        <v>352</v>
      </c>
      <c r="M6" s="104" t="s">
        <v>612</v>
      </c>
      <c r="N6" s="104">
        <v>4</v>
      </c>
      <c r="O6" s="104" t="str">
        <f t="shared" si="0"/>
        <v/>
      </c>
      <c r="P6" s="104" t="str">
        <f t="shared" si="1"/>
        <v/>
      </c>
      <c r="Q6" s="104" t="str">
        <f>IFERROR(INDEX($M$3:M$350, $P6, COLUMNS($Q$3:Q353)),"")</f>
        <v/>
      </c>
      <c r="R6" s="104"/>
      <c r="S6" t="s">
        <v>405</v>
      </c>
      <c r="T6" s="101">
        <v>50245</v>
      </c>
      <c r="U6" t="s">
        <v>406</v>
      </c>
      <c r="V6">
        <v>4</v>
      </c>
      <c r="W6">
        <f t="shared" si="2"/>
        <v>4</v>
      </c>
      <c r="X6">
        <f t="shared" si="3"/>
        <v>4</v>
      </c>
      <c r="Y6" s="108">
        <f>IFERROR(INDEX($T$3:U$352, $X6, COLUMNS($Y$3:Y6)), "")</f>
        <v>50245</v>
      </c>
      <c r="Z6" s="108" t="str">
        <f>IFERROR(INDEX($T$3:V$352, $X6, COLUMNS($Y$3:Z6)), "")</f>
        <v>Arrowhead Regional Medical Center (Colton)</v>
      </c>
    </row>
    <row r="7" spans="1:26" x14ac:dyDescent="0.25">
      <c r="C7" s="88" t="s">
        <v>280</v>
      </c>
      <c r="D7" s="88">
        <v>5</v>
      </c>
      <c r="E7" s="89">
        <v>5</v>
      </c>
      <c r="F7" s="89">
        <v>5</v>
      </c>
      <c r="G7" s="89"/>
      <c r="H7" s="89"/>
      <c r="I7" t="s">
        <v>297</v>
      </c>
      <c r="J7" t="s">
        <v>353</v>
      </c>
      <c r="K7" s="104"/>
      <c r="L7" s="104" t="s">
        <v>351</v>
      </c>
      <c r="M7" s="104" t="s">
        <v>407</v>
      </c>
      <c r="N7" s="104">
        <v>5</v>
      </c>
      <c r="O7" s="104" t="str">
        <f t="shared" si="0"/>
        <v/>
      </c>
      <c r="P7" s="104" t="str">
        <f t="shared" si="1"/>
        <v/>
      </c>
      <c r="Q7" s="104" t="str">
        <f>IFERROR(INDEX($M$3:M$350, $P7, COLUMNS($Q$3:Q354)),"")</f>
        <v/>
      </c>
      <c r="R7" s="104"/>
      <c r="S7" t="s">
        <v>407</v>
      </c>
      <c r="T7" s="101">
        <v>30002</v>
      </c>
      <c r="U7" t="s">
        <v>408</v>
      </c>
      <c r="V7">
        <v>5</v>
      </c>
      <c r="W7">
        <f t="shared" si="2"/>
        <v>5</v>
      </c>
      <c r="X7">
        <f t="shared" si="3"/>
        <v>5</v>
      </c>
      <c r="Y7" s="108">
        <f>IFERROR(INDEX($T$3:U$352, $X7, COLUMNS($Y$3:Y7)), "")</f>
        <v>30002</v>
      </c>
      <c r="Z7" s="108" t="str">
        <f>IFERROR(INDEX($T$3:V$352, $X7, COLUMNS($Y$3:Z7)), "")</f>
        <v>University Medical Center Phoneix (Phoenix)</v>
      </c>
    </row>
    <row r="8" spans="1:26" x14ac:dyDescent="0.25">
      <c r="C8" s="88" t="s">
        <v>281</v>
      </c>
      <c r="D8" s="88">
        <v>6</v>
      </c>
      <c r="E8" s="89">
        <v>6</v>
      </c>
      <c r="F8" s="89">
        <v>6</v>
      </c>
      <c r="G8" s="89"/>
      <c r="H8" s="89"/>
      <c r="I8" t="s">
        <v>298</v>
      </c>
      <c r="J8" t="s">
        <v>354</v>
      </c>
      <c r="K8" s="104"/>
      <c r="L8" s="104" t="s">
        <v>351</v>
      </c>
      <c r="M8" s="104" t="s">
        <v>494</v>
      </c>
      <c r="N8" s="104">
        <v>6</v>
      </c>
      <c r="O8" s="104" t="str">
        <f t="shared" si="0"/>
        <v/>
      </c>
      <c r="P8" s="104" t="str">
        <f t="shared" si="1"/>
        <v/>
      </c>
      <c r="Q8" s="104" t="str">
        <f>IFERROR(INDEX($M$3:M$350, $P8, COLUMNS($Q$3:Q355)),"")</f>
        <v/>
      </c>
      <c r="R8" s="104"/>
      <c r="S8" t="s">
        <v>407</v>
      </c>
      <c r="T8" s="101">
        <v>30064</v>
      </c>
      <c r="U8" t="s">
        <v>409</v>
      </c>
      <c r="V8">
        <v>6</v>
      </c>
      <c r="W8">
        <f t="shared" si="2"/>
        <v>6</v>
      </c>
      <c r="X8">
        <f t="shared" si="3"/>
        <v>6</v>
      </c>
      <c r="Y8" s="108">
        <f>IFERROR(INDEX($T$3:U$352, $X8, COLUMNS($Y$3:Y8)), "")</f>
        <v>30064</v>
      </c>
      <c r="Z8" s="108" t="str">
        <f>IFERROR(INDEX($T$3:V$352, $X8, COLUMNS($Y$3:Z8)), "")</f>
        <v>University Medical Center Tucson (Tucson); University Medical Center South (Tucson)</v>
      </c>
    </row>
    <row r="9" spans="1:26" x14ac:dyDescent="0.25">
      <c r="C9" s="88" t="s">
        <v>282</v>
      </c>
      <c r="D9" s="88">
        <v>7</v>
      </c>
      <c r="E9" s="89">
        <v>7</v>
      </c>
      <c r="F9" s="89">
        <v>7</v>
      </c>
      <c r="G9" s="89"/>
      <c r="H9" s="89"/>
      <c r="I9" t="s">
        <v>299</v>
      </c>
      <c r="J9" t="s">
        <v>355</v>
      </c>
      <c r="K9" s="104"/>
      <c r="L9" s="104" t="s">
        <v>353</v>
      </c>
      <c r="M9" s="104" t="s">
        <v>401</v>
      </c>
      <c r="N9" s="104">
        <v>7</v>
      </c>
      <c r="O9" s="104" t="str">
        <f t="shared" si="0"/>
        <v/>
      </c>
      <c r="P9" s="104" t="str">
        <f t="shared" si="1"/>
        <v/>
      </c>
      <c r="Q9" s="104" t="str">
        <f>IFERROR(INDEX($M$3:M$350, $P9, COLUMNS($Q$3:Q356)),"")</f>
        <v/>
      </c>
      <c r="R9" s="104"/>
      <c r="S9" t="s">
        <v>410</v>
      </c>
      <c r="T9" s="101">
        <v>310074</v>
      </c>
      <c r="U9" t="s">
        <v>411</v>
      </c>
      <c r="V9">
        <v>7</v>
      </c>
      <c r="W9">
        <f t="shared" si="2"/>
        <v>7</v>
      </c>
      <c r="X9">
        <f t="shared" si="3"/>
        <v>7</v>
      </c>
      <c r="Y9" s="108">
        <f>IFERROR(INDEX($T$3:U$352, $X9, COLUMNS($Y$3:Y9)), "")</f>
        <v>310074</v>
      </c>
      <c r="Z9" s="108" t="str">
        <f>IFERROR(INDEX($T$3:V$352, $X9, COLUMNS($Y$3:Z9)), "")</f>
        <v>Jersey City Medical Center (Jersey City)</v>
      </c>
    </row>
    <row r="10" spans="1:26" x14ac:dyDescent="0.25">
      <c r="C10" s="88" t="s">
        <v>283</v>
      </c>
      <c r="D10" s="88">
        <v>8</v>
      </c>
      <c r="E10" s="89">
        <v>8</v>
      </c>
      <c r="F10" s="89">
        <v>8</v>
      </c>
      <c r="G10" s="89"/>
      <c r="H10" s="89"/>
      <c r="I10" t="s">
        <v>300</v>
      </c>
      <c r="J10" t="s">
        <v>356</v>
      </c>
      <c r="K10" s="104"/>
      <c r="L10" s="104" t="s">
        <v>353</v>
      </c>
      <c r="M10" s="104" t="s">
        <v>405</v>
      </c>
      <c r="N10" s="104">
        <v>8</v>
      </c>
      <c r="O10" s="104" t="str">
        <f t="shared" si="0"/>
        <v/>
      </c>
      <c r="P10" s="104" t="str">
        <f t="shared" si="1"/>
        <v/>
      </c>
      <c r="Q10" s="104" t="str">
        <f>IFERROR(INDEX($M$3:M$350, $P10, COLUMNS($Q$3:Q357)),"")</f>
        <v/>
      </c>
      <c r="R10" s="104"/>
      <c r="S10" t="s">
        <v>412</v>
      </c>
      <c r="T10" s="101">
        <v>210013</v>
      </c>
      <c r="U10" t="s">
        <v>413</v>
      </c>
      <c r="V10">
        <v>8</v>
      </c>
      <c r="W10">
        <f t="shared" si="2"/>
        <v>8</v>
      </c>
      <c r="X10">
        <f t="shared" si="3"/>
        <v>8</v>
      </c>
      <c r="Y10" s="108">
        <f>IFERROR(INDEX($T$3:U$352, $X10, COLUMNS($Y$3:Y10)), "")</f>
        <v>210013</v>
      </c>
      <c r="Z10" s="108" t="str">
        <f>IFERROR(INDEX($T$3:V$352, $X10, COLUMNS($Y$3:Z10)), "")</f>
        <v>Bon Secours Hospital (Baltimore)</v>
      </c>
    </row>
    <row r="11" spans="1:26" x14ac:dyDescent="0.25">
      <c r="C11" s="88" t="s">
        <v>284</v>
      </c>
      <c r="D11" s="88">
        <v>9</v>
      </c>
      <c r="E11" s="89">
        <v>9</v>
      </c>
      <c r="F11" s="89">
        <v>9</v>
      </c>
      <c r="G11" s="89"/>
      <c r="H11" s="89"/>
      <c r="I11" t="s">
        <v>343</v>
      </c>
      <c r="J11" t="s">
        <v>357</v>
      </c>
      <c r="K11" s="104"/>
      <c r="L11" s="104" t="s">
        <v>353</v>
      </c>
      <c r="M11" s="104" t="s">
        <v>432</v>
      </c>
      <c r="N11" s="104">
        <v>9</v>
      </c>
      <c r="O11" s="104" t="str">
        <f t="shared" si="0"/>
        <v/>
      </c>
      <c r="P11" s="104" t="str">
        <f t="shared" si="1"/>
        <v/>
      </c>
      <c r="Q11" s="104" t="str">
        <f>IFERROR(INDEX($M$3:M$350, $P11, COLUMNS($Q$3:Q358)),"")</f>
        <v/>
      </c>
      <c r="R11" s="104"/>
      <c r="S11" t="s">
        <v>414</v>
      </c>
      <c r="T11" s="101">
        <v>220031</v>
      </c>
      <c r="U11" t="s">
        <v>415</v>
      </c>
      <c r="V11">
        <v>9</v>
      </c>
      <c r="W11">
        <f t="shared" si="2"/>
        <v>9</v>
      </c>
      <c r="X11">
        <f t="shared" si="3"/>
        <v>9</v>
      </c>
      <c r="Y11" s="108">
        <f>IFERROR(INDEX($T$3:U$352, $X11, COLUMNS($Y$3:Y11)), "")</f>
        <v>220031</v>
      </c>
      <c r="Z11" s="108" t="str">
        <f>IFERROR(INDEX($T$3:V$352, $X11, COLUMNS($Y$3:Z11)), "")</f>
        <v>Boston Medical Center (Boston)</v>
      </c>
    </row>
    <row r="12" spans="1:26" x14ac:dyDescent="0.25">
      <c r="C12" s="88" t="s">
        <v>285</v>
      </c>
      <c r="D12" s="88">
        <v>10</v>
      </c>
      <c r="E12" s="89">
        <v>10</v>
      </c>
      <c r="F12" s="89">
        <v>10</v>
      </c>
      <c r="G12" s="89"/>
      <c r="H12" s="89"/>
      <c r="I12" t="s">
        <v>301</v>
      </c>
      <c r="J12" t="s">
        <v>358</v>
      </c>
      <c r="K12" s="104"/>
      <c r="L12" s="104" t="s">
        <v>353</v>
      </c>
      <c r="M12" s="104" t="s">
        <v>435</v>
      </c>
      <c r="N12" s="104">
        <v>10</v>
      </c>
      <c r="O12" s="104" t="str">
        <f t="shared" si="0"/>
        <v/>
      </c>
      <c r="P12" s="104" t="str">
        <f t="shared" si="1"/>
        <v/>
      </c>
      <c r="Q12" s="104" t="str">
        <f>IFERROR(INDEX($M$3:M$350, $P12, COLUMNS($Q$3:Q359)),"")</f>
        <v/>
      </c>
      <c r="R12" s="104"/>
      <c r="S12" t="s">
        <v>416</v>
      </c>
      <c r="T12" s="101">
        <v>160101</v>
      </c>
      <c r="U12" t="s">
        <v>417</v>
      </c>
      <c r="V12">
        <v>10</v>
      </c>
      <c r="W12">
        <f t="shared" si="2"/>
        <v>10</v>
      </c>
      <c r="X12">
        <f t="shared" si="3"/>
        <v>10</v>
      </c>
      <c r="Y12" s="108">
        <f>IFERROR(INDEX($T$3:U$352, $X12, COLUMNS($Y$3:Y12)), "")</f>
        <v>160101</v>
      </c>
      <c r="Z12" s="108" t="str">
        <f>IFERROR(INDEX($T$3:V$352, $X12, COLUMNS($Y$3:Z12)), "")</f>
        <v>Broadlawns Medical Center (Des Moines)</v>
      </c>
    </row>
    <row r="13" spans="1:26" x14ac:dyDescent="0.25">
      <c r="C13" s="88" t="s">
        <v>286</v>
      </c>
      <c r="D13" s="88">
        <v>11</v>
      </c>
      <c r="E13" s="89">
        <v>11</v>
      </c>
      <c r="F13" s="89">
        <v>11</v>
      </c>
      <c r="G13" s="89"/>
      <c r="H13" s="89"/>
      <c r="I13" t="s">
        <v>302</v>
      </c>
      <c r="J13" t="s">
        <v>359</v>
      </c>
      <c r="K13" s="104"/>
      <c r="L13" s="104" t="s">
        <v>353</v>
      </c>
      <c r="M13" s="104" t="s">
        <v>481</v>
      </c>
      <c r="N13" s="104">
        <v>11</v>
      </c>
      <c r="O13" s="104" t="str">
        <f t="shared" si="0"/>
        <v/>
      </c>
      <c r="P13" s="104" t="str">
        <f t="shared" si="1"/>
        <v/>
      </c>
      <c r="Q13" s="104" t="str">
        <f>IFERROR(INDEX($M$3:M$350, $P13, COLUMNS($Q$3:Q360)),"")</f>
        <v/>
      </c>
      <c r="R13" s="104"/>
      <c r="S13" t="s">
        <v>418</v>
      </c>
      <c r="T13" s="101">
        <v>100086</v>
      </c>
      <c r="U13" t="s">
        <v>419</v>
      </c>
      <c r="V13">
        <v>11</v>
      </c>
      <c r="W13">
        <f t="shared" si="2"/>
        <v>11</v>
      </c>
      <c r="X13">
        <f t="shared" si="3"/>
        <v>11</v>
      </c>
      <c r="Y13" s="108">
        <f>IFERROR(INDEX($T$3:U$352, $X13, COLUMNS($Y$3:Y13)), "")</f>
        <v>100086</v>
      </c>
      <c r="Z13" s="108" t="str">
        <f>IFERROR(INDEX($T$3:V$352, $X13, COLUMNS($Y$3:Z13)), "")</f>
        <v>Broward Health North (Deerfield Beach)</v>
      </c>
    </row>
    <row r="14" spans="1:26" x14ac:dyDescent="0.25">
      <c r="C14" s="88" t="s">
        <v>287</v>
      </c>
      <c r="D14" s="88">
        <v>12</v>
      </c>
      <c r="E14" s="89">
        <v>12</v>
      </c>
      <c r="F14" s="89">
        <v>12</v>
      </c>
      <c r="G14" s="89"/>
      <c r="H14" s="89"/>
      <c r="I14" t="s">
        <v>303</v>
      </c>
      <c r="J14" t="s">
        <v>360</v>
      </c>
      <c r="K14" s="104"/>
      <c r="L14" s="104" t="s">
        <v>353</v>
      </c>
      <c r="M14" s="104" t="s">
        <v>487</v>
      </c>
      <c r="N14" s="104">
        <v>12</v>
      </c>
      <c r="O14" s="104" t="str">
        <f t="shared" si="0"/>
        <v/>
      </c>
      <c r="P14" s="104" t="str">
        <f t="shared" si="1"/>
        <v/>
      </c>
      <c r="Q14" s="104" t="str">
        <f>IFERROR(INDEX($M$3:M$350, $P14, COLUMNS($Q$3:Q361)),"")</f>
        <v/>
      </c>
      <c r="R14" s="104"/>
      <c r="S14" t="s">
        <v>418</v>
      </c>
      <c r="T14" s="101">
        <v>100276</v>
      </c>
      <c r="U14" t="s">
        <v>420</v>
      </c>
      <c r="V14">
        <v>12</v>
      </c>
      <c r="W14">
        <f t="shared" si="2"/>
        <v>12</v>
      </c>
      <c r="X14">
        <f t="shared" si="3"/>
        <v>12</v>
      </c>
      <c r="Y14" s="108">
        <f>IFERROR(INDEX($T$3:U$352, $X14, COLUMNS($Y$3:Y14)), "")</f>
        <v>100276</v>
      </c>
      <c r="Z14" s="108" t="str">
        <f>IFERROR(INDEX($T$3:V$352, $X14, COLUMNS($Y$3:Z14)), "")</f>
        <v>Broward Health Coral Springs (Coral Springs)</v>
      </c>
    </row>
    <row r="15" spans="1:26" x14ac:dyDescent="0.25">
      <c r="C15" s="88" t="s">
        <v>279</v>
      </c>
      <c r="D15" s="88">
        <v>0</v>
      </c>
      <c r="E15" s="89">
        <v>13</v>
      </c>
      <c r="F15" s="89">
        <v>13</v>
      </c>
      <c r="G15" s="89"/>
      <c r="H15" s="89"/>
      <c r="I15" t="s">
        <v>304</v>
      </c>
      <c r="J15" t="s">
        <v>361</v>
      </c>
      <c r="K15" s="104"/>
      <c r="L15" s="104" t="s">
        <v>353</v>
      </c>
      <c r="M15" s="104" t="s">
        <v>503</v>
      </c>
      <c r="N15" s="104">
        <v>13</v>
      </c>
      <c r="O15" s="104" t="str">
        <f t="shared" si="0"/>
        <v/>
      </c>
      <c r="P15" s="104" t="str">
        <f t="shared" si="1"/>
        <v/>
      </c>
      <c r="Q15" s="104" t="str">
        <f>IFERROR(INDEX($M$3:M$350, $P15, COLUMNS($Q$3:Q362)),"")</f>
        <v/>
      </c>
      <c r="R15" s="104"/>
      <c r="S15" t="s">
        <v>418</v>
      </c>
      <c r="T15" s="101">
        <v>100200</v>
      </c>
      <c r="U15" t="s">
        <v>421</v>
      </c>
      <c r="V15">
        <v>13</v>
      </c>
      <c r="W15">
        <f t="shared" si="2"/>
        <v>13</v>
      </c>
      <c r="X15">
        <f t="shared" si="3"/>
        <v>13</v>
      </c>
      <c r="Y15" s="108">
        <f>IFERROR(INDEX($T$3:U$352, $X15, COLUMNS($Y$3:Y15)), "")</f>
        <v>100200</v>
      </c>
      <c r="Z15" s="108" t="str">
        <f>IFERROR(INDEX($T$3:V$352, $X15, COLUMNS($Y$3:Z15)), "")</f>
        <v>Broward Health Imperial Point (Fort Lauderdale)</v>
      </c>
    </row>
    <row r="16" spans="1:26" x14ac:dyDescent="0.25">
      <c r="C16" s="89"/>
      <c r="D16" s="89"/>
      <c r="E16" s="89">
        <v>14</v>
      </c>
      <c r="F16" s="89">
        <v>14</v>
      </c>
      <c r="G16" s="89"/>
      <c r="H16" s="89"/>
      <c r="I16" t="s">
        <v>305</v>
      </c>
      <c r="J16" t="s">
        <v>362</v>
      </c>
      <c r="K16" s="104"/>
      <c r="L16" s="104" t="s">
        <v>353</v>
      </c>
      <c r="M16" s="104" t="s">
        <v>540</v>
      </c>
      <c r="N16" s="104">
        <v>14</v>
      </c>
      <c r="O16" s="104" t="str">
        <f t="shared" si="0"/>
        <v/>
      </c>
      <c r="P16" s="104" t="str">
        <f t="shared" si="1"/>
        <v/>
      </c>
      <c r="Q16" s="104" t="str">
        <f>IFERROR(INDEX($M$3:M$350, $P16, COLUMNS($Q$3:Q363)),"")</f>
        <v/>
      </c>
      <c r="R16" s="104"/>
      <c r="S16" t="s">
        <v>418</v>
      </c>
      <c r="T16" s="101">
        <v>100039</v>
      </c>
      <c r="U16" t="s">
        <v>422</v>
      </c>
      <c r="V16">
        <v>14</v>
      </c>
      <c r="W16">
        <f t="shared" si="2"/>
        <v>14</v>
      </c>
      <c r="X16">
        <f t="shared" si="3"/>
        <v>14</v>
      </c>
      <c r="Y16" s="108">
        <f>IFERROR(INDEX($T$3:U$352, $X16, COLUMNS($Y$3:Y16)), "")</f>
        <v>100039</v>
      </c>
      <c r="Z16" s="108" t="str">
        <f>IFERROR(INDEX($T$3:V$352, $X16, COLUMNS($Y$3:Z16)), "")</f>
        <v>Broward Health Medical Center (Fort Lauderdale); Chris Evert Children's Hospital (Fort Lauderdale)</v>
      </c>
    </row>
    <row r="17" spans="3:26" x14ac:dyDescent="0.25">
      <c r="C17" s="89"/>
      <c r="D17" s="89"/>
      <c r="E17" s="89">
        <v>15</v>
      </c>
      <c r="F17" s="89">
        <v>15</v>
      </c>
      <c r="G17" s="89"/>
      <c r="H17" s="89"/>
      <c r="I17" t="s">
        <v>306</v>
      </c>
      <c r="J17" t="s">
        <v>363</v>
      </c>
      <c r="K17" s="104"/>
      <c r="L17" s="104" t="s">
        <v>353</v>
      </c>
      <c r="M17" s="104" t="s">
        <v>546</v>
      </c>
      <c r="N17" s="104">
        <v>15</v>
      </c>
      <c r="O17" s="104" t="str">
        <f t="shared" si="0"/>
        <v/>
      </c>
      <c r="P17" s="104" t="str">
        <f t="shared" si="1"/>
        <v/>
      </c>
      <c r="Q17" s="104" t="str">
        <f>IFERROR(INDEX($M$3:M$350, $P17, COLUMNS($Q$3:Q364)),"")</f>
        <v/>
      </c>
      <c r="R17" s="104"/>
      <c r="S17" t="s">
        <v>423</v>
      </c>
      <c r="T17" s="101">
        <v>220011</v>
      </c>
      <c r="U17" t="s">
        <v>424</v>
      </c>
      <c r="V17">
        <v>15</v>
      </c>
      <c r="W17">
        <f t="shared" si="2"/>
        <v>15</v>
      </c>
      <c r="X17">
        <f t="shared" si="3"/>
        <v>15</v>
      </c>
      <c r="Y17" s="108">
        <f>IFERROR(INDEX($T$3:U$352, $X17, COLUMNS($Y$3:Y17)), "")</f>
        <v>220011</v>
      </c>
      <c r="Z17" s="108" t="str">
        <f>IFERROR(INDEX($T$3:V$352, $X17, COLUMNS($Y$3:Z17)), "")</f>
        <v>The Cambridge Hospital (Cambridge); Somerville Hospital (Somerville); Whidden Memorial Hospital (Cambridge)</v>
      </c>
    </row>
    <row r="18" spans="3:26" x14ac:dyDescent="0.25">
      <c r="C18" s="89"/>
      <c r="D18" s="89"/>
      <c r="E18" s="89">
        <v>16</v>
      </c>
      <c r="F18" s="89">
        <v>16</v>
      </c>
      <c r="G18" s="89"/>
      <c r="H18" s="89"/>
      <c r="I18" t="s">
        <v>307</v>
      </c>
      <c r="J18" t="s">
        <v>364</v>
      </c>
      <c r="K18" s="104"/>
      <c r="L18" s="104" t="s">
        <v>353</v>
      </c>
      <c r="M18" s="104" t="s">
        <v>548</v>
      </c>
      <c r="N18" s="104">
        <v>16</v>
      </c>
      <c r="O18" s="104" t="str">
        <f t="shared" si="0"/>
        <v/>
      </c>
      <c r="P18" s="104" t="str">
        <f t="shared" si="1"/>
        <v/>
      </c>
      <c r="Q18" s="104" t="str">
        <f>IFERROR(INDEX($M$3:M$350, $P18, COLUMNS($Q$3:Q365)),"")</f>
        <v/>
      </c>
      <c r="R18" s="104"/>
      <c r="S18" t="s">
        <v>425</v>
      </c>
      <c r="T18" s="101">
        <v>414000</v>
      </c>
      <c r="U18" t="s">
        <v>426</v>
      </c>
      <c r="V18">
        <v>16</v>
      </c>
      <c r="W18">
        <f t="shared" si="2"/>
        <v>16</v>
      </c>
      <c r="X18">
        <f t="shared" si="3"/>
        <v>16</v>
      </c>
      <c r="Y18" s="108">
        <f>IFERROR(INDEX($T$3:U$352, $X18, COLUMNS($Y$3:Y18)), "")</f>
        <v>414000</v>
      </c>
      <c r="Z18" s="108" t="str">
        <f>IFERROR(INDEX($T$3:V$352, $X18, COLUMNS($Y$3:Z18)), "")</f>
        <v>Butler Hospital (Providence)</v>
      </c>
    </row>
    <row r="19" spans="3:26" x14ac:dyDescent="0.25">
      <c r="C19" s="89"/>
      <c r="D19" s="89"/>
      <c r="E19" s="89">
        <v>17</v>
      </c>
      <c r="F19" s="89">
        <v>17</v>
      </c>
      <c r="G19" s="89"/>
      <c r="H19" s="89"/>
      <c r="I19" t="s">
        <v>308</v>
      </c>
      <c r="J19" t="s">
        <v>365</v>
      </c>
      <c r="K19" s="104"/>
      <c r="L19" s="104" t="s">
        <v>353</v>
      </c>
      <c r="M19" s="104" t="s">
        <v>550</v>
      </c>
      <c r="N19" s="104">
        <v>17</v>
      </c>
      <c r="O19" s="104" t="str">
        <f t="shared" si="0"/>
        <v/>
      </c>
      <c r="P19" s="104" t="str">
        <f t="shared" si="1"/>
        <v/>
      </c>
      <c r="Q19" s="104" t="str">
        <f>IFERROR(INDEX($M$3:M$350, $P19, COLUMNS($Q$3:Q366)),"")</f>
        <v/>
      </c>
      <c r="R19" s="104"/>
      <c r="S19" t="s">
        <v>425</v>
      </c>
      <c r="T19" s="101">
        <v>410009</v>
      </c>
      <c r="U19" t="s">
        <v>427</v>
      </c>
      <c r="V19">
        <v>17</v>
      </c>
      <c r="W19">
        <f t="shared" si="2"/>
        <v>17</v>
      </c>
      <c r="X19">
        <f t="shared" si="3"/>
        <v>17</v>
      </c>
      <c r="Y19" s="108">
        <f>IFERROR(INDEX($T$3:U$352, $X19, COLUMNS($Y$3:Y19)), "")</f>
        <v>410009</v>
      </c>
      <c r="Z19" s="108" t="str">
        <f>IFERROR(INDEX($T$3:V$352, $X19, COLUMNS($Y$3:Z19)), "")</f>
        <v>Kent Hospital (Warwick)</v>
      </c>
    </row>
    <row r="20" spans="3:26" x14ac:dyDescent="0.25">
      <c r="C20" s="89"/>
      <c r="D20" s="89"/>
      <c r="E20" s="89">
        <v>18</v>
      </c>
      <c r="F20" s="89">
        <v>18</v>
      </c>
      <c r="G20" s="89"/>
      <c r="H20" s="89"/>
      <c r="I20" t="s">
        <v>309</v>
      </c>
      <c r="J20" t="s">
        <v>366</v>
      </c>
      <c r="K20" s="104"/>
      <c r="L20" s="104" t="s">
        <v>353</v>
      </c>
      <c r="M20" s="104" t="s">
        <v>614</v>
      </c>
      <c r="N20" s="104">
        <v>18</v>
      </c>
      <c r="O20" s="104" t="str">
        <f t="shared" si="0"/>
        <v/>
      </c>
      <c r="P20" s="104" t="str">
        <f t="shared" si="1"/>
        <v/>
      </c>
      <c r="Q20" s="104" t="str">
        <f>IFERROR(INDEX($M$3:M$350, $P20, COLUMNS($Q$3:Q367)),"")</f>
        <v/>
      </c>
      <c r="R20" s="104"/>
      <c r="S20" t="s">
        <v>425</v>
      </c>
      <c r="T20" s="101">
        <v>410001</v>
      </c>
      <c r="U20" t="s">
        <v>428</v>
      </c>
      <c r="V20">
        <v>18</v>
      </c>
      <c r="W20">
        <f t="shared" si="2"/>
        <v>18</v>
      </c>
      <c r="X20">
        <f t="shared" si="3"/>
        <v>18</v>
      </c>
      <c r="Y20" s="108">
        <f>IFERROR(INDEX($T$3:U$352, $X20, COLUMNS($Y$3:Y20)), "")</f>
        <v>410001</v>
      </c>
      <c r="Z20" s="108" t="str">
        <f>IFERROR(INDEX($T$3:V$352, $X20, COLUMNS($Y$3:Z20)), "")</f>
        <v>Memorial Hospital of Rhode Island (Pawtucket)</v>
      </c>
    </row>
    <row r="21" spans="3:26" x14ac:dyDescent="0.25">
      <c r="C21" s="89"/>
      <c r="D21" s="89"/>
      <c r="E21" s="89">
        <v>19</v>
      </c>
      <c r="F21" s="89">
        <v>19</v>
      </c>
      <c r="G21" s="89"/>
      <c r="H21" s="89"/>
      <c r="I21" t="s">
        <v>310</v>
      </c>
      <c r="J21" t="s">
        <v>367</v>
      </c>
      <c r="K21" s="104"/>
      <c r="L21" s="104" t="s">
        <v>353</v>
      </c>
      <c r="M21" s="104" t="s">
        <v>639</v>
      </c>
      <c r="N21" s="104">
        <v>19</v>
      </c>
      <c r="O21" s="104" t="str">
        <f t="shared" si="0"/>
        <v/>
      </c>
      <c r="P21" s="104" t="str">
        <f t="shared" si="1"/>
        <v/>
      </c>
      <c r="Q21" s="104" t="str">
        <f>IFERROR(INDEX($M$3:M$350, $P21, COLUMNS($Q$3:Q368)),"")</f>
        <v/>
      </c>
      <c r="R21" s="104"/>
      <c r="S21" t="s">
        <v>425</v>
      </c>
      <c r="T21" s="101">
        <v>410010</v>
      </c>
      <c r="U21" t="s">
        <v>429</v>
      </c>
      <c r="V21">
        <v>19</v>
      </c>
      <c r="W21">
        <f t="shared" si="2"/>
        <v>19</v>
      </c>
      <c r="X21">
        <f t="shared" si="3"/>
        <v>19</v>
      </c>
      <c r="Y21" s="108">
        <f>IFERROR(INDEX($T$3:U$352, $X21, COLUMNS($Y$3:Y21)), "")</f>
        <v>410010</v>
      </c>
      <c r="Z21" s="108" t="str">
        <f>IFERROR(INDEX($T$3:V$352, $X21, COLUMNS($Y$3:Z21)), "")</f>
        <v>Women &amp; Infants Hospital (Providence)</v>
      </c>
    </row>
    <row r="22" spans="3:26" x14ac:dyDescent="0.25">
      <c r="C22" s="89"/>
      <c r="D22" s="89"/>
      <c r="E22" s="89">
        <v>20</v>
      </c>
      <c r="F22" s="89">
        <v>20</v>
      </c>
      <c r="G22" s="89"/>
      <c r="H22" s="89"/>
      <c r="I22" t="s">
        <v>311</v>
      </c>
      <c r="J22" t="s">
        <v>368</v>
      </c>
      <c r="K22" s="104"/>
      <c r="L22" s="104" t="s">
        <v>354</v>
      </c>
      <c r="M22" s="104" t="s">
        <v>440</v>
      </c>
      <c r="N22" s="104">
        <v>20</v>
      </c>
      <c r="O22" s="104" t="str">
        <f t="shared" si="0"/>
        <v/>
      </c>
      <c r="P22" s="104" t="str">
        <f t="shared" si="1"/>
        <v/>
      </c>
      <c r="Q22" s="104" t="str">
        <f>IFERROR(INDEX($M$3:M$350, $P22, COLUMNS($Q$3:Q369)),"")</f>
        <v/>
      </c>
      <c r="R22" s="104"/>
      <c r="S22" t="s">
        <v>430</v>
      </c>
      <c r="T22" s="101">
        <v>340032</v>
      </c>
      <c r="U22" t="s">
        <v>431</v>
      </c>
      <c r="V22">
        <v>20</v>
      </c>
      <c r="W22">
        <f t="shared" si="2"/>
        <v>20</v>
      </c>
      <c r="X22">
        <f t="shared" si="3"/>
        <v>20</v>
      </c>
      <c r="Y22" s="108">
        <f>IFERROR(INDEX($T$3:U$352, $X22, COLUMNS($Y$3:Y22)), "")</f>
        <v>340032</v>
      </c>
      <c r="Z22" s="108" t="str">
        <f>IFERROR(INDEX($T$3:V$352, $X22, COLUMNS($Y$3:Z22)), "")</f>
        <v>CaroMont Health (Gastonia)</v>
      </c>
    </row>
    <row r="23" spans="3:26" x14ac:dyDescent="0.25">
      <c r="C23" s="89"/>
      <c r="D23" s="89"/>
      <c r="E23" s="89">
        <v>21</v>
      </c>
      <c r="F23" s="89">
        <v>21</v>
      </c>
      <c r="G23" s="89"/>
      <c r="H23" s="89"/>
      <c r="I23" t="s">
        <v>312</v>
      </c>
      <c r="J23" t="s">
        <v>369</v>
      </c>
      <c r="K23" s="104"/>
      <c r="L23" s="104" t="s">
        <v>357</v>
      </c>
      <c r="M23" s="104" t="s">
        <v>471</v>
      </c>
      <c r="N23" s="104">
        <v>21</v>
      </c>
      <c r="O23" s="104" t="str">
        <f t="shared" si="0"/>
        <v/>
      </c>
      <c r="P23" s="104" t="str">
        <f t="shared" si="1"/>
        <v/>
      </c>
      <c r="Q23" s="104" t="str">
        <f>IFERROR(INDEX($M$3:M$350, $P23, COLUMNS($Q$3:Q370)),"")</f>
        <v/>
      </c>
      <c r="R23" s="104"/>
      <c r="S23" t="s">
        <v>432</v>
      </c>
      <c r="T23" s="101">
        <v>50668</v>
      </c>
      <c r="U23" t="s">
        <v>433</v>
      </c>
      <c r="V23">
        <v>21</v>
      </c>
      <c r="W23">
        <f t="shared" si="2"/>
        <v>21</v>
      </c>
      <c r="X23">
        <f t="shared" si="3"/>
        <v>21</v>
      </c>
      <c r="Y23" s="108">
        <f>IFERROR(INDEX($T$3:U$352, $X23, COLUMNS($Y$3:Y23)), "")</f>
        <v>50668</v>
      </c>
      <c r="Z23" s="108" t="str">
        <f>IFERROR(INDEX($T$3:V$352, $X23, COLUMNS($Y$3:Z23)), "")</f>
        <v>Laguna Honda Hospital (San Francisco)</v>
      </c>
    </row>
    <row r="24" spans="3:26" x14ac:dyDescent="0.25">
      <c r="C24" s="89"/>
      <c r="D24" s="89"/>
      <c r="E24" s="89">
        <v>22</v>
      </c>
      <c r="F24" s="89">
        <v>22</v>
      </c>
      <c r="G24" s="89"/>
      <c r="H24" s="89"/>
      <c r="I24" t="s">
        <v>313</v>
      </c>
      <c r="J24" t="s">
        <v>370</v>
      </c>
      <c r="K24" s="104"/>
      <c r="L24" s="104" t="s">
        <v>357</v>
      </c>
      <c r="M24" s="104" t="s">
        <v>599</v>
      </c>
      <c r="N24" s="104">
        <v>22</v>
      </c>
      <c r="O24" s="104" t="str">
        <f t="shared" si="0"/>
        <v/>
      </c>
      <c r="P24" s="104" t="str">
        <f t="shared" si="1"/>
        <v/>
      </c>
      <c r="Q24" s="104" t="str">
        <f>IFERROR(INDEX($M$3:M$350, $P24, COLUMNS($Q$3:Q371)),"")</f>
        <v/>
      </c>
      <c r="R24" s="104"/>
      <c r="S24" t="s">
        <v>432</v>
      </c>
      <c r="T24" s="101">
        <v>50228</v>
      </c>
      <c r="U24" t="s">
        <v>434</v>
      </c>
      <c r="V24">
        <v>22</v>
      </c>
      <c r="W24">
        <f t="shared" si="2"/>
        <v>22</v>
      </c>
      <c r="X24">
        <f t="shared" si="3"/>
        <v>22</v>
      </c>
      <c r="Y24" s="108">
        <f>IFERROR(INDEX($T$3:U$352, $X24, COLUMNS($Y$3:Y24)), "")</f>
        <v>50228</v>
      </c>
      <c r="Z24" s="108" t="str">
        <f>IFERROR(INDEX($T$3:V$352, $X24, COLUMNS($Y$3:Z24)), "")</f>
        <v>San Francisco General Hospital (San Francisco)</v>
      </c>
    </row>
    <row r="25" spans="3:26" x14ac:dyDescent="0.25">
      <c r="C25" s="89"/>
      <c r="D25" s="89"/>
      <c r="E25" s="89">
        <v>23</v>
      </c>
      <c r="F25" s="89">
        <v>23</v>
      </c>
      <c r="G25" s="89"/>
      <c r="H25" s="89"/>
      <c r="I25" t="s">
        <v>314</v>
      </c>
      <c r="J25" t="s">
        <v>371</v>
      </c>
      <c r="K25" s="104"/>
      <c r="L25" s="104" t="s">
        <v>358</v>
      </c>
      <c r="M25" s="104" t="s">
        <v>418</v>
      </c>
      <c r="N25" s="104">
        <v>23</v>
      </c>
      <c r="O25" s="104" t="str">
        <f t="shared" si="0"/>
        <v/>
      </c>
      <c r="P25" s="104" t="str">
        <f t="shared" si="1"/>
        <v/>
      </c>
      <c r="Q25" s="104" t="str">
        <f>IFERROR(INDEX($M$3:M$350, $P25, COLUMNS($Q$3:Q372)),"")</f>
        <v/>
      </c>
      <c r="R25" s="104"/>
      <c r="S25" t="s">
        <v>435</v>
      </c>
      <c r="T25" s="101">
        <v>50276</v>
      </c>
      <c r="U25" t="s">
        <v>436</v>
      </c>
      <c r="V25">
        <v>23</v>
      </c>
      <c r="W25">
        <f t="shared" si="2"/>
        <v>23</v>
      </c>
      <c r="X25">
        <f t="shared" si="3"/>
        <v>23</v>
      </c>
      <c r="Y25" s="108">
        <f>IFERROR(INDEX($T$3:U$352, $X25, COLUMNS($Y$3:Y25)), "")</f>
        <v>50276</v>
      </c>
      <c r="Z25" s="108" t="str">
        <f>IFERROR(INDEX($T$3:V$352, $X25, COLUMNS($Y$3:Z25)), "")</f>
        <v>Contra Costa Regional Medical Center (Martinez)</v>
      </c>
    </row>
    <row r="26" spans="3:26" x14ac:dyDescent="0.25">
      <c r="C26" s="89"/>
      <c r="D26" s="89"/>
      <c r="E26" s="89">
        <v>24</v>
      </c>
      <c r="F26" s="89">
        <v>24</v>
      </c>
      <c r="G26" s="89"/>
      <c r="H26" s="89"/>
      <c r="I26" t="s">
        <v>315</v>
      </c>
      <c r="J26" t="s">
        <v>372</v>
      </c>
      <c r="K26" s="104"/>
      <c r="L26" s="104" t="s">
        <v>358</v>
      </c>
      <c r="M26" s="104" t="s">
        <v>455</v>
      </c>
      <c r="N26" s="104">
        <v>24</v>
      </c>
      <c r="O26" s="104" t="str">
        <f t="shared" si="0"/>
        <v/>
      </c>
      <c r="P26" s="104" t="str">
        <f t="shared" si="1"/>
        <v/>
      </c>
      <c r="Q26" s="104" t="str">
        <f>IFERROR(INDEX($M$3:M$350, $P26, COLUMNS($Q$3:Q373)),"")</f>
        <v/>
      </c>
      <c r="R26" s="104"/>
      <c r="S26" t="s">
        <v>437</v>
      </c>
      <c r="T26" s="101">
        <v>140124</v>
      </c>
      <c r="U26" t="s">
        <v>438</v>
      </c>
      <c r="V26">
        <v>24</v>
      </c>
      <c r="W26">
        <f t="shared" si="2"/>
        <v>24</v>
      </c>
      <c r="X26">
        <f t="shared" si="3"/>
        <v>24</v>
      </c>
      <c r="Y26" s="108">
        <f>IFERROR(INDEX($T$3:U$352, $X26, COLUMNS($Y$3:Y26)), "")</f>
        <v>140124</v>
      </c>
      <c r="Z26" s="108" t="str">
        <f>IFERROR(INDEX($T$3:V$352, $X26, COLUMNS($Y$3:Z26)), "")</f>
        <v>John H. Stroger, Jr. Hospital of Cook County (Chicago)</v>
      </c>
    </row>
    <row r="27" spans="3:26" x14ac:dyDescent="0.25">
      <c r="C27" s="89"/>
      <c r="D27" s="89"/>
      <c r="E27" s="89">
        <v>25</v>
      </c>
      <c r="F27" s="89">
        <v>25</v>
      </c>
      <c r="G27" s="89"/>
      <c r="H27" s="89"/>
      <c r="I27" t="s">
        <v>316</v>
      </c>
      <c r="J27" t="s">
        <v>373</v>
      </c>
      <c r="K27" s="104"/>
      <c r="L27" s="104" t="s">
        <v>358</v>
      </c>
      <c r="M27" s="104" t="s">
        <v>459</v>
      </c>
      <c r="N27" s="104">
        <v>25</v>
      </c>
      <c r="O27" s="104" t="str">
        <f t="shared" si="0"/>
        <v/>
      </c>
      <c r="P27" s="104" t="str">
        <f t="shared" si="1"/>
        <v/>
      </c>
      <c r="Q27" s="104" t="str">
        <f>IFERROR(INDEX($M$3:M$350, $P27, COLUMNS($Q$3:Q374)),"")</f>
        <v/>
      </c>
      <c r="R27" s="104"/>
      <c r="S27" t="s">
        <v>437</v>
      </c>
      <c r="T27" s="101">
        <v>140300</v>
      </c>
      <c r="U27" t="s">
        <v>439</v>
      </c>
      <c r="V27">
        <v>25</v>
      </c>
      <c r="W27">
        <f t="shared" si="2"/>
        <v>25</v>
      </c>
      <c r="X27">
        <f t="shared" si="3"/>
        <v>25</v>
      </c>
      <c r="Y27" s="108">
        <f>IFERROR(INDEX($T$3:U$352, $X27, COLUMNS($Y$3:Y27)), "")</f>
        <v>140300</v>
      </c>
      <c r="Z27" s="108" t="str">
        <f>IFERROR(INDEX($T$3:V$352, $X27, COLUMNS($Y$3:Z27)), "")</f>
        <v>Provident Hospital of Cook County (Chicago)</v>
      </c>
    </row>
    <row r="28" spans="3:26" x14ac:dyDescent="0.25">
      <c r="C28" s="89"/>
      <c r="D28" s="89"/>
      <c r="E28" s="89">
        <v>26</v>
      </c>
      <c r="F28" s="89">
        <v>26</v>
      </c>
      <c r="G28" s="89"/>
      <c r="H28" s="89"/>
      <c r="I28" t="s">
        <v>317</v>
      </c>
      <c r="J28" t="s">
        <v>374</v>
      </c>
      <c r="K28" s="104"/>
      <c r="L28" s="104" t="s">
        <v>358</v>
      </c>
      <c r="M28" s="104" t="s">
        <v>479</v>
      </c>
      <c r="N28" s="104">
        <v>26</v>
      </c>
      <c r="O28" s="104" t="str">
        <f t="shared" si="0"/>
        <v/>
      </c>
      <c r="P28" s="104" t="str">
        <f t="shared" si="1"/>
        <v/>
      </c>
      <c r="Q28" s="104" t="str">
        <f>IFERROR(INDEX($M$3:M$350, $P28, COLUMNS($Q$3:Q375)),"")</f>
        <v/>
      </c>
      <c r="R28" s="104"/>
      <c r="S28" t="s">
        <v>440</v>
      </c>
      <c r="T28" s="101">
        <v>60011</v>
      </c>
      <c r="U28" t="s">
        <v>441</v>
      </c>
      <c r="V28">
        <v>26</v>
      </c>
      <c r="W28">
        <f t="shared" si="2"/>
        <v>26</v>
      </c>
      <c r="X28">
        <f t="shared" si="3"/>
        <v>26</v>
      </c>
      <c r="Y28" s="108">
        <f>IFERROR(INDEX($T$3:U$352, $X28, COLUMNS($Y$3:Y28)), "")</f>
        <v>60011</v>
      </c>
      <c r="Z28" s="108" t="str">
        <f>IFERROR(INDEX($T$3:V$352, $X28, COLUMNS($Y$3:Z28)), "")</f>
        <v>Denver Health (Denver)</v>
      </c>
    </row>
    <row r="29" spans="3:26" x14ac:dyDescent="0.25">
      <c r="C29" s="89"/>
      <c r="D29" s="89"/>
      <c r="E29" s="89">
        <v>27</v>
      </c>
      <c r="F29" s="89">
        <v>27</v>
      </c>
      <c r="G29" s="89"/>
      <c r="H29" s="89"/>
      <c r="I29" t="s">
        <v>318</v>
      </c>
      <c r="J29" t="s">
        <v>375</v>
      </c>
      <c r="K29" s="104"/>
      <c r="L29" s="104" t="s">
        <v>358</v>
      </c>
      <c r="M29" s="104" t="s">
        <v>483</v>
      </c>
      <c r="N29" s="104">
        <v>27</v>
      </c>
      <c r="O29" s="104" t="str">
        <f t="shared" si="0"/>
        <v/>
      </c>
      <c r="P29" s="104" t="str">
        <f t="shared" si="1"/>
        <v/>
      </c>
      <c r="Q29" s="104" t="str">
        <f>IFERROR(INDEX($M$3:M$350, $P29, COLUMNS($Q$3:Q376)),"")</f>
        <v/>
      </c>
      <c r="R29" s="104"/>
      <c r="S29" t="s">
        <v>442</v>
      </c>
      <c r="T29" s="101">
        <v>10029</v>
      </c>
      <c r="U29" t="s">
        <v>443</v>
      </c>
      <c r="V29">
        <v>27</v>
      </c>
      <c r="W29">
        <f t="shared" si="2"/>
        <v>27</v>
      </c>
      <c r="X29">
        <f t="shared" si="3"/>
        <v>27</v>
      </c>
      <c r="Y29" s="108">
        <f>IFERROR(INDEX($T$3:U$352, $X29, COLUMNS($Y$3:Y29)), "")</f>
        <v>10029</v>
      </c>
      <c r="Z29" s="108" t="str">
        <f>IFERROR(INDEX($T$3:V$352, $X29, COLUMNS($Y$3:Z29)), "")</f>
        <v>East Alabama Medical Center (Opelika)</v>
      </c>
    </row>
    <row r="30" spans="3:26" x14ac:dyDescent="0.25">
      <c r="C30" s="89"/>
      <c r="D30" s="89"/>
      <c r="E30" s="89">
        <v>28</v>
      </c>
      <c r="F30" s="89">
        <v>28</v>
      </c>
      <c r="G30" s="89"/>
      <c r="H30" s="89"/>
      <c r="I30" t="s">
        <v>319</v>
      </c>
      <c r="J30" t="s">
        <v>376</v>
      </c>
      <c r="K30" s="104"/>
      <c r="L30" s="104" t="s">
        <v>358</v>
      </c>
      <c r="M30" s="104" t="s">
        <v>496</v>
      </c>
      <c r="N30" s="104">
        <v>28</v>
      </c>
      <c r="O30" s="104" t="str">
        <f t="shared" si="0"/>
        <v/>
      </c>
      <c r="P30" s="104" t="str">
        <f t="shared" si="1"/>
        <v/>
      </c>
      <c r="Q30" s="104" t="str">
        <f>IFERROR(INDEX($M$3:M$350, $P30, COLUMNS($Q$3:Q377)),"")</f>
        <v/>
      </c>
      <c r="R30" s="104"/>
      <c r="S30" t="s">
        <v>442</v>
      </c>
      <c r="T30" s="101">
        <v>10025</v>
      </c>
      <c r="U30" t="s">
        <v>444</v>
      </c>
      <c r="V30">
        <v>28</v>
      </c>
      <c r="W30">
        <f t="shared" si="2"/>
        <v>28</v>
      </c>
      <c r="X30">
        <f t="shared" si="3"/>
        <v>28</v>
      </c>
      <c r="Y30" s="108">
        <f>IFERROR(INDEX($T$3:U$352, $X30, COLUMNS($Y$3:Y30)), "")</f>
        <v>10025</v>
      </c>
      <c r="Z30" s="108" t="str">
        <f>IFERROR(INDEX($T$3:V$352, $X30, COLUMNS($Y$3:Z30)), "")</f>
        <v>East Alabama Medical Center - Lanier (Valley)</v>
      </c>
    </row>
    <row r="31" spans="3:26" x14ac:dyDescent="0.25">
      <c r="C31" s="89"/>
      <c r="D31" s="89"/>
      <c r="E31" s="89">
        <v>29</v>
      </c>
      <c r="F31" s="89">
        <v>29</v>
      </c>
      <c r="G31" s="89"/>
      <c r="H31" s="89"/>
      <c r="I31" t="s">
        <v>320</v>
      </c>
      <c r="J31" t="s">
        <v>377</v>
      </c>
      <c r="K31" s="104"/>
      <c r="L31" s="104" t="s">
        <v>358</v>
      </c>
      <c r="M31" s="104" t="s">
        <v>525</v>
      </c>
      <c r="N31" s="104">
        <v>29</v>
      </c>
      <c r="O31" s="104" t="str">
        <f t="shared" si="0"/>
        <v/>
      </c>
      <c r="P31" s="104" t="str">
        <f t="shared" si="1"/>
        <v/>
      </c>
      <c r="Q31" s="104" t="str">
        <f>IFERROR(INDEX($M$3:M$350, $P31, COLUMNS($Q$3:Q378)),"")</f>
        <v/>
      </c>
      <c r="R31" s="104"/>
      <c r="S31" t="s">
        <v>445</v>
      </c>
      <c r="T31" s="101">
        <v>390142</v>
      </c>
      <c r="U31" t="s">
        <v>446</v>
      </c>
      <c r="V31">
        <v>29</v>
      </c>
      <c r="W31">
        <f t="shared" si="2"/>
        <v>29</v>
      </c>
      <c r="X31">
        <f t="shared" si="3"/>
        <v>29</v>
      </c>
      <c r="Y31" s="108">
        <f>IFERROR(INDEX($T$3:U$352, $X31, COLUMNS($Y$3:Y31)), "")</f>
        <v>390142</v>
      </c>
      <c r="Z31" s="108" t="str">
        <f>IFERROR(INDEX($T$3:V$352, $X31, COLUMNS($Y$3:Z31)), "")</f>
        <v>Einstein Medical Center Philadelphia (Philadelphia); Einstein Medical Center at Elkins Park (Elkins Park); MossRehab (Elkins Park)</v>
      </c>
    </row>
    <row r="32" spans="3:26" x14ac:dyDescent="0.25">
      <c r="C32" s="89"/>
      <c r="D32" s="89"/>
      <c r="E32" s="89">
        <v>30</v>
      </c>
      <c r="F32" s="89">
        <v>30</v>
      </c>
      <c r="G32" s="89"/>
      <c r="H32" s="89"/>
      <c r="I32" t="s">
        <v>321</v>
      </c>
      <c r="J32" t="s">
        <v>378</v>
      </c>
      <c r="K32" s="104"/>
      <c r="L32" s="104" t="s">
        <v>358</v>
      </c>
      <c r="M32" s="104" t="s">
        <v>561</v>
      </c>
      <c r="N32" s="104">
        <v>30</v>
      </c>
      <c r="O32" s="104" t="str">
        <f t="shared" si="0"/>
        <v/>
      </c>
      <c r="P32" s="104" t="str">
        <f t="shared" si="1"/>
        <v/>
      </c>
      <c r="Q32" s="104" t="str">
        <f>IFERROR(INDEX($M$3:M$350, $P32, COLUMNS($Q$3:Q379)),"")</f>
        <v/>
      </c>
      <c r="R32" s="104"/>
      <c r="S32" t="s">
        <v>445</v>
      </c>
      <c r="T32" s="101">
        <v>390329</v>
      </c>
      <c r="U32" t="s">
        <v>447</v>
      </c>
      <c r="V32">
        <v>30</v>
      </c>
      <c r="W32">
        <f t="shared" si="2"/>
        <v>30</v>
      </c>
      <c r="X32">
        <f t="shared" si="3"/>
        <v>30</v>
      </c>
      <c r="Y32" s="108">
        <f>IFERROR(INDEX($T$3:U$352, $X32, COLUMNS($Y$3:Y32)), "")</f>
        <v>390329</v>
      </c>
      <c r="Z32" s="108" t="str">
        <f>IFERROR(INDEX($T$3:V$352, $X32, COLUMNS($Y$3:Z32)), "")</f>
        <v>Einstein Medical Center Montgomery (East Norriton)</v>
      </c>
    </row>
    <row r="33" spans="3:26" x14ac:dyDescent="0.25">
      <c r="C33" s="89"/>
      <c r="D33" s="89"/>
      <c r="E33" s="89">
        <v>31</v>
      </c>
      <c r="F33" s="89">
        <v>31</v>
      </c>
      <c r="G33" s="89"/>
      <c r="H33" s="89"/>
      <c r="I33" t="s">
        <v>322</v>
      </c>
      <c r="J33" t="s">
        <v>379</v>
      </c>
      <c r="K33" s="104"/>
      <c r="L33" s="104" t="s">
        <v>358</v>
      </c>
      <c r="M33" s="104" t="s">
        <v>623</v>
      </c>
      <c r="N33" s="104">
        <v>31</v>
      </c>
      <c r="O33" s="104" t="str">
        <f t="shared" si="0"/>
        <v/>
      </c>
      <c r="P33" s="104" t="str">
        <f t="shared" si="1"/>
        <v/>
      </c>
      <c r="Q33" s="104" t="str">
        <f>IFERROR(INDEX($M$3:M$350, $P33, COLUMNS($Q$3:Q380)),"")</f>
        <v/>
      </c>
      <c r="R33" s="104"/>
      <c r="S33" t="s">
        <v>448</v>
      </c>
      <c r="T33" s="101">
        <v>330219</v>
      </c>
      <c r="U33" t="s">
        <v>449</v>
      </c>
      <c r="V33">
        <v>31</v>
      </c>
      <c r="W33">
        <f t="shared" si="2"/>
        <v>31</v>
      </c>
      <c r="X33">
        <f t="shared" si="3"/>
        <v>31</v>
      </c>
      <c r="Y33" s="108">
        <f>IFERROR(INDEX($T$3:U$352, $X33, COLUMNS($Y$3:Y33)), "")</f>
        <v>330219</v>
      </c>
      <c r="Z33" s="108" t="str">
        <f>IFERROR(INDEX($T$3:V$352, $X33, COLUMNS($Y$3:Z33)), "")</f>
        <v>Erie County Medical Center (Buffalo)</v>
      </c>
    </row>
    <row r="34" spans="3:26" x14ac:dyDescent="0.25">
      <c r="C34" s="89"/>
      <c r="D34" s="89"/>
      <c r="E34" s="89" t="s">
        <v>279</v>
      </c>
      <c r="F34" s="90">
        <v>0</v>
      </c>
      <c r="G34" s="89"/>
      <c r="H34" s="89"/>
      <c r="I34" t="s">
        <v>323</v>
      </c>
      <c r="J34" t="s">
        <v>380</v>
      </c>
      <c r="K34" s="104"/>
      <c r="L34" s="104" t="s">
        <v>359</v>
      </c>
      <c r="M34" s="104" t="s">
        <v>453</v>
      </c>
      <c r="N34" s="104">
        <v>32</v>
      </c>
      <c r="O34" s="104" t="str">
        <f t="shared" si="0"/>
        <v/>
      </c>
      <c r="P34" s="104" t="str">
        <f t="shared" si="1"/>
        <v/>
      </c>
      <c r="Q34" s="104" t="str">
        <f>IFERROR(INDEX($M$3:M$350, $P34, COLUMNS($Q$3:Q381)),"")</f>
        <v/>
      </c>
      <c r="R34" s="104"/>
      <c r="S34" t="s">
        <v>450</v>
      </c>
      <c r="T34" s="101">
        <v>440104</v>
      </c>
      <c r="U34" t="s">
        <v>451</v>
      </c>
      <c r="V34">
        <v>32</v>
      </c>
      <c r="W34">
        <f t="shared" si="2"/>
        <v>32</v>
      </c>
      <c r="X34">
        <f t="shared" si="3"/>
        <v>32</v>
      </c>
      <c r="Y34" s="108">
        <f>IFERROR(INDEX($T$3:U$352, $X34, COLUMNS($Y$3:Y34)), "")</f>
        <v>440104</v>
      </c>
      <c r="Z34" s="108" t="str">
        <f>IFERROR(INDEX($T$3:V$352, $X34, COLUMNS($Y$3:Z34)), "")</f>
        <v>Erlanger Baroness Campus (Chattanooga); Erlanger East Campus (Chattanooga); Erlanger North Campus (Chattanooga); Children's Hospital at Erlanger (Chattanooga)</v>
      </c>
    </row>
    <row r="35" spans="3:26" x14ac:dyDescent="0.25">
      <c r="I35" t="s">
        <v>324</v>
      </c>
      <c r="J35" t="s">
        <v>381</v>
      </c>
      <c r="K35" s="104"/>
      <c r="L35" s="104" t="s">
        <v>364</v>
      </c>
      <c r="M35" s="104" t="s">
        <v>416</v>
      </c>
      <c r="N35" s="104">
        <v>33</v>
      </c>
      <c r="O35" s="104" t="str">
        <f t="shared" si="0"/>
        <v/>
      </c>
      <c r="P35" s="104" t="str">
        <f t="shared" si="1"/>
        <v/>
      </c>
      <c r="Q35" s="104" t="str">
        <f>IFERROR(INDEX($M$3:M$350, $P35, COLUMNS($Q$3:Q382)),"")</f>
        <v/>
      </c>
      <c r="R35" s="104"/>
      <c r="S35" t="s">
        <v>450</v>
      </c>
      <c r="T35" s="101">
        <v>441306</v>
      </c>
      <c r="U35" t="s">
        <v>452</v>
      </c>
      <c r="V35">
        <v>33</v>
      </c>
      <c r="W35">
        <f t="shared" si="2"/>
        <v>33</v>
      </c>
      <c r="X35">
        <f t="shared" si="3"/>
        <v>33</v>
      </c>
      <c r="Y35" s="108">
        <f>IFERROR(INDEX($T$3:U$352, $X35, COLUMNS($Y$3:Y35)), "")</f>
        <v>441306</v>
      </c>
      <c r="Z35" s="108" t="str">
        <f>IFERROR(INDEX($T$3:V$352, $X35, COLUMNS($Y$3:Z35)), "")</f>
        <v>Erlanger Bledsoe Campus (Pikeville)</v>
      </c>
    </row>
    <row r="36" spans="3:26" x14ac:dyDescent="0.25">
      <c r="I36" t="s">
        <v>325</v>
      </c>
      <c r="J36" t="s">
        <v>382</v>
      </c>
      <c r="K36" s="104"/>
      <c r="L36" s="104" t="s">
        <v>361</v>
      </c>
      <c r="M36" s="104" t="s">
        <v>552</v>
      </c>
      <c r="N36" s="104">
        <v>34</v>
      </c>
      <c r="O36" s="104" t="str">
        <f t="shared" si="0"/>
        <v/>
      </c>
      <c r="P36" s="104" t="str">
        <f t="shared" si="1"/>
        <v/>
      </c>
      <c r="Q36" s="104" t="str">
        <f>IFERROR(INDEX($M$3:M$350, $P36, COLUMNS($Q$3:Q383)),"")</f>
        <v/>
      </c>
      <c r="R36" s="104"/>
      <c r="S36" t="s">
        <v>453</v>
      </c>
      <c r="T36" s="101">
        <v>110079</v>
      </c>
      <c r="U36" t="s">
        <v>454</v>
      </c>
      <c r="V36">
        <v>34</v>
      </c>
      <c r="W36">
        <f t="shared" si="2"/>
        <v>34</v>
      </c>
      <c r="X36">
        <f t="shared" si="3"/>
        <v>34</v>
      </c>
      <c r="Y36" s="108">
        <f>IFERROR(INDEX($T$3:U$352, $X36, COLUMNS($Y$3:Y36)), "")</f>
        <v>110079</v>
      </c>
      <c r="Z36" s="108" t="str">
        <f>IFERROR(INDEX($T$3:V$352, $X36, COLUMNS($Y$3:Z36)), "")</f>
        <v>Grady Memorial Hospital (Atlanta)</v>
      </c>
    </row>
    <row r="37" spans="3:26" x14ac:dyDescent="0.25">
      <c r="I37" t="s">
        <v>326</v>
      </c>
      <c r="J37" t="s">
        <v>383</v>
      </c>
      <c r="K37" s="104"/>
      <c r="L37" s="104" t="s">
        <v>362</v>
      </c>
      <c r="M37" s="104" t="s">
        <v>437</v>
      </c>
      <c r="N37" s="104">
        <v>35</v>
      </c>
      <c r="O37" s="104" t="str">
        <f t="shared" si="0"/>
        <v/>
      </c>
      <c r="P37" s="104" t="str">
        <f t="shared" si="1"/>
        <v/>
      </c>
      <c r="Q37" s="104" t="str">
        <f>IFERROR(INDEX($M$3:M$350, $P37, COLUMNS($Q$3:Q384)),"")</f>
        <v/>
      </c>
      <c r="R37" s="104"/>
      <c r="S37" t="s">
        <v>455</v>
      </c>
      <c r="T37" s="101">
        <v>100017</v>
      </c>
      <c r="U37" t="s">
        <v>456</v>
      </c>
      <c r="V37">
        <v>35</v>
      </c>
      <c r="W37">
        <f t="shared" si="2"/>
        <v>35</v>
      </c>
      <c r="X37">
        <f t="shared" si="3"/>
        <v>35</v>
      </c>
      <c r="Y37" s="108">
        <f>IFERROR(INDEX($T$3:U$352, $X37, COLUMNS($Y$3:Y37)), "")</f>
        <v>100017</v>
      </c>
      <c r="Z37" s="108" t="str">
        <f>IFERROR(INDEX($T$3:V$352, $X37, COLUMNS($Y$3:Z37)), "")</f>
        <v>Medical Center of Daytona Beach (Daytona Beach); Medical Center of Port Orange (Port Orange)</v>
      </c>
    </row>
    <row r="38" spans="3:26" x14ac:dyDescent="0.25">
      <c r="I38" t="s">
        <v>327</v>
      </c>
      <c r="J38" t="s">
        <v>384</v>
      </c>
      <c r="K38" s="104"/>
      <c r="L38" s="104" t="s">
        <v>362</v>
      </c>
      <c r="M38" s="104" t="s">
        <v>519</v>
      </c>
      <c r="N38" s="104">
        <v>36</v>
      </c>
      <c r="O38" s="104" t="str">
        <f t="shared" si="0"/>
        <v/>
      </c>
      <c r="P38" s="104" t="str">
        <f t="shared" si="1"/>
        <v/>
      </c>
      <c r="Q38" s="104" t="str">
        <f>IFERROR(INDEX($M$3:M$350, $P38, COLUMNS($Q$3:Q385)),"")</f>
        <v/>
      </c>
      <c r="R38" s="104"/>
      <c r="S38" t="s">
        <v>457</v>
      </c>
      <c r="T38" s="101">
        <v>450289</v>
      </c>
      <c r="U38" t="s">
        <v>458</v>
      </c>
      <c r="V38">
        <v>36</v>
      </c>
      <c r="W38">
        <f t="shared" si="2"/>
        <v>36</v>
      </c>
      <c r="X38">
        <f t="shared" si="3"/>
        <v>36</v>
      </c>
      <c r="Y38" s="108">
        <f>IFERROR(INDEX($T$3:U$352, $X38, COLUMNS($Y$3:Y38)), "")</f>
        <v>450289</v>
      </c>
      <c r="Z38" s="108" t="str">
        <f>IFERROR(INDEX($T$3:V$352, $X38, COLUMNS($Y$3:Z38)), "")</f>
        <v>Ben Taub General Hospital (Houston); Lyndon Baines Johnson General Hospital (Houston); Quentin Mease Hosptial (Houston)</v>
      </c>
    </row>
    <row r="39" spans="3:26" x14ac:dyDescent="0.25">
      <c r="I39" t="s">
        <v>328</v>
      </c>
      <c r="J39" t="s">
        <v>385</v>
      </c>
      <c r="K39" s="104"/>
      <c r="L39" s="104" t="s">
        <v>362</v>
      </c>
      <c r="M39" s="104" t="s">
        <v>531</v>
      </c>
      <c r="N39" s="104">
        <v>37</v>
      </c>
      <c r="O39" s="104" t="str">
        <f t="shared" si="0"/>
        <v/>
      </c>
      <c r="P39" s="104" t="str">
        <f t="shared" si="1"/>
        <v/>
      </c>
      <c r="Q39" s="104" t="str">
        <f>IFERROR(INDEX($M$3:M$350, $P39, COLUMNS($Q$3:Q386)),"")</f>
        <v/>
      </c>
      <c r="R39" s="104"/>
      <c r="S39" t="s">
        <v>459</v>
      </c>
      <c r="T39" s="101">
        <v>100130</v>
      </c>
      <c r="U39" t="s">
        <v>460</v>
      </c>
      <c r="V39">
        <v>37</v>
      </c>
      <c r="W39">
        <f t="shared" si="2"/>
        <v>37</v>
      </c>
      <c r="X39">
        <f t="shared" si="3"/>
        <v>37</v>
      </c>
      <c r="Y39" s="108">
        <f>IFERROR(INDEX($T$3:U$352, $X39, COLUMNS($Y$3:Y39)), "")</f>
        <v>100130</v>
      </c>
      <c r="Z39" s="108" t="str">
        <f>IFERROR(INDEX($T$3:V$352, $X39, COLUMNS($Y$3:Z39)), "")</f>
        <v>Lakeside Medical Center (Belle Glade)</v>
      </c>
    </row>
    <row r="40" spans="3:26" x14ac:dyDescent="0.25">
      <c r="I40" t="s">
        <v>329</v>
      </c>
      <c r="J40" t="s">
        <v>386</v>
      </c>
      <c r="K40" s="104"/>
      <c r="L40" s="104" t="s">
        <v>362</v>
      </c>
      <c r="M40" s="104" t="s">
        <v>559</v>
      </c>
      <c r="N40" s="104">
        <v>38</v>
      </c>
      <c r="O40" s="104" t="str">
        <f t="shared" si="0"/>
        <v/>
      </c>
      <c r="P40" s="104" t="str">
        <f t="shared" si="1"/>
        <v/>
      </c>
      <c r="Q40" s="104" t="str">
        <f>IFERROR(INDEX($M$3:M$350, $P40, COLUMNS($Q$3:Q387)),"")</f>
        <v/>
      </c>
      <c r="R40" s="104"/>
      <c r="S40" t="s">
        <v>461</v>
      </c>
      <c r="T40" s="101">
        <v>150024</v>
      </c>
      <c r="U40" t="s">
        <v>462</v>
      </c>
      <c r="V40">
        <v>38</v>
      </c>
      <c r="W40">
        <f t="shared" si="2"/>
        <v>38</v>
      </c>
      <c r="X40">
        <f t="shared" si="3"/>
        <v>38</v>
      </c>
      <c r="Y40" s="108">
        <f>IFERROR(INDEX($T$3:U$352, $X40, COLUMNS($Y$3:Y40)), "")</f>
        <v>150024</v>
      </c>
      <c r="Z40" s="108" t="str">
        <f>IFERROR(INDEX($T$3:V$352, $X40, COLUMNS($Y$3:Z40)), "")</f>
        <v>Sidney and Lois Eskenazi Hospital (Indianapolis)</v>
      </c>
    </row>
    <row r="41" spans="3:26" x14ac:dyDescent="0.25">
      <c r="I41" t="s">
        <v>330</v>
      </c>
      <c r="J41" t="s">
        <v>387</v>
      </c>
      <c r="K41" s="104"/>
      <c r="L41" s="104" t="s">
        <v>362</v>
      </c>
      <c r="M41" s="104" t="s">
        <v>621</v>
      </c>
      <c r="N41" s="104">
        <v>39</v>
      </c>
      <c r="O41" s="104" t="str">
        <f t="shared" si="0"/>
        <v/>
      </c>
      <c r="P41" s="104" t="str">
        <f t="shared" si="1"/>
        <v/>
      </c>
      <c r="Q41" s="104" t="str">
        <f>IFERROR(INDEX($M$3:M$350, $P41, COLUMNS($Q$3:Q388)),"")</f>
        <v/>
      </c>
      <c r="R41" s="104"/>
      <c r="S41" t="s">
        <v>463</v>
      </c>
      <c r="T41" s="101">
        <v>240004</v>
      </c>
      <c r="U41" t="s">
        <v>464</v>
      </c>
      <c r="V41">
        <v>39</v>
      </c>
      <c r="W41">
        <f t="shared" si="2"/>
        <v>39</v>
      </c>
      <c r="X41">
        <f t="shared" si="3"/>
        <v>39</v>
      </c>
      <c r="Y41" s="108">
        <f>IFERROR(INDEX($T$3:U$352, $X41, COLUMNS($Y$3:Y41)), "")</f>
        <v>240004</v>
      </c>
      <c r="Z41" s="108" t="str">
        <f>IFERROR(INDEX($T$3:V$352, $X41, COLUMNS($Y$3:Z41)), "")</f>
        <v>Hennepin County Medical Center (Minneapolis)</v>
      </c>
    </row>
    <row r="42" spans="3:26" x14ac:dyDescent="0.25">
      <c r="I42" t="s">
        <v>331</v>
      </c>
      <c r="J42" t="s">
        <v>388</v>
      </c>
      <c r="K42" s="104"/>
      <c r="L42" s="104" t="s">
        <v>362</v>
      </c>
      <c r="M42" s="104" t="s">
        <v>626</v>
      </c>
      <c r="N42" s="104">
        <v>40</v>
      </c>
      <c r="O42" s="104" t="str">
        <f t="shared" si="0"/>
        <v/>
      </c>
      <c r="P42" s="104" t="str">
        <f t="shared" si="1"/>
        <v/>
      </c>
      <c r="Q42" s="104" t="str">
        <f>IFERROR(INDEX($M$3:M$350, $P42, COLUMNS($Q$3:Q389)),"")</f>
        <v/>
      </c>
      <c r="R42" s="104"/>
      <c r="S42" t="s">
        <v>465</v>
      </c>
      <c r="T42" s="101">
        <v>230053</v>
      </c>
      <c r="U42" t="s">
        <v>466</v>
      </c>
      <c r="V42">
        <v>40</v>
      </c>
      <c r="W42">
        <f t="shared" si="2"/>
        <v>40</v>
      </c>
      <c r="X42">
        <f t="shared" si="3"/>
        <v>40</v>
      </c>
      <c r="Y42" s="108">
        <f>IFERROR(INDEX($T$3:U$352, $X42, COLUMNS($Y$3:Y42)), "")</f>
        <v>230053</v>
      </c>
      <c r="Z42" s="108" t="str">
        <f>IFERROR(INDEX($T$3:V$352, $X42, COLUMNS($Y$3:Z42)), "")</f>
        <v>Henry Ford Hospital (Detroit)</v>
      </c>
    </row>
    <row r="43" spans="3:26" x14ac:dyDescent="0.25">
      <c r="I43" t="s">
        <v>332</v>
      </c>
      <c r="J43" t="s">
        <v>389</v>
      </c>
      <c r="K43" s="104"/>
      <c r="L43" s="104" t="s">
        <v>363</v>
      </c>
      <c r="M43" s="104" t="s">
        <v>461</v>
      </c>
      <c r="N43" s="104">
        <v>41</v>
      </c>
      <c r="O43" s="104" t="str">
        <f t="shared" si="0"/>
        <v/>
      </c>
      <c r="P43" s="104" t="str">
        <f t="shared" si="1"/>
        <v/>
      </c>
      <c r="Q43" s="104" t="str">
        <f>IFERROR(INDEX($M$3:M$350, $P43, COLUMNS($Q$3:Q390)),"")</f>
        <v/>
      </c>
      <c r="R43" s="104"/>
      <c r="S43" t="s">
        <v>465</v>
      </c>
      <c r="T43" s="101">
        <v>234011</v>
      </c>
      <c r="U43" t="s">
        <v>467</v>
      </c>
      <c r="V43">
        <v>41</v>
      </c>
      <c r="W43">
        <f t="shared" si="2"/>
        <v>41</v>
      </c>
      <c r="X43">
        <f t="shared" si="3"/>
        <v>41</v>
      </c>
      <c r="Y43" s="108">
        <f>IFERROR(INDEX($T$3:U$352, $X43, COLUMNS($Y$3:Y43)), "")</f>
        <v>234011</v>
      </c>
      <c r="Z43" s="108" t="str">
        <f>IFERROR(INDEX($T$3:V$352, $X43, COLUMNS($Y$3:Z43)), "")</f>
        <v>Henry Ford Kingswood Hospital (Ferndale)</v>
      </c>
    </row>
    <row r="44" spans="3:26" x14ac:dyDescent="0.25">
      <c r="I44" t="s">
        <v>333</v>
      </c>
      <c r="J44" t="s">
        <v>390</v>
      </c>
      <c r="K44" s="104"/>
      <c r="L44" s="104" t="s">
        <v>365</v>
      </c>
      <c r="M44" s="104" t="s">
        <v>570</v>
      </c>
      <c r="N44" s="104">
        <v>42</v>
      </c>
      <c r="O44" s="104" t="str">
        <f t="shared" si="0"/>
        <v/>
      </c>
      <c r="P44" s="104" t="str">
        <f t="shared" si="1"/>
        <v/>
      </c>
      <c r="Q44" s="104" t="str">
        <f>IFERROR(INDEX($M$3:M$350, $P44, COLUMNS($Q$3:Q391)),"")</f>
        <v/>
      </c>
      <c r="R44" s="104"/>
      <c r="S44" t="s">
        <v>465</v>
      </c>
      <c r="T44" s="101">
        <v>230047</v>
      </c>
      <c r="U44" t="s">
        <v>468</v>
      </c>
      <c r="V44">
        <v>42</v>
      </c>
      <c r="W44">
        <f t="shared" si="2"/>
        <v>42</v>
      </c>
      <c r="X44">
        <f t="shared" si="3"/>
        <v>42</v>
      </c>
      <c r="Y44" s="108">
        <f>IFERROR(INDEX($T$3:U$352, $X44, COLUMNS($Y$3:Y44)), "")</f>
        <v>230047</v>
      </c>
      <c r="Z44" s="108" t="str">
        <f>IFERROR(INDEX($T$3:V$352, $X44, COLUMNS($Y$3:Z44)), "")</f>
        <v>Henry Ford Macomb Hospitals - Clinton Township (Clinton Township); Henry Ford Macomb Hospitals - Mount Clemens (Mount Clemens)</v>
      </c>
    </row>
    <row r="45" spans="3:26" x14ac:dyDescent="0.25">
      <c r="I45" t="s">
        <v>334</v>
      </c>
      <c r="J45" t="s">
        <v>391</v>
      </c>
      <c r="K45" s="104"/>
      <c r="L45" s="104" t="s">
        <v>366</v>
      </c>
      <c r="M45" s="104" t="s">
        <v>579</v>
      </c>
      <c r="N45" s="104">
        <v>43</v>
      </c>
      <c r="O45" s="104" t="str">
        <f t="shared" si="0"/>
        <v/>
      </c>
      <c r="P45" s="104" t="str">
        <f t="shared" si="1"/>
        <v/>
      </c>
      <c r="Q45" s="104" t="str">
        <f>IFERROR(INDEX($M$3:M$350, $P45, COLUMNS($Q$3:Q392)),"")</f>
        <v/>
      </c>
      <c r="R45" s="104"/>
      <c r="S45" t="s">
        <v>465</v>
      </c>
      <c r="T45" s="101">
        <v>230302</v>
      </c>
      <c r="U45" t="s">
        <v>469</v>
      </c>
      <c r="V45">
        <v>43</v>
      </c>
      <c r="W45">
        <f t="shared" si="2"/>
        <v>43</v>
      </c>
      <c r="X45">
        <f t="shared" si="3"/>
        <v>43</v>
      </c>
      <c r="Y45" s="108">
        <f>IFERROR(INDEX($T$3:U$352, $X45, COLUMNS($Y$3:Y45)), "")</f>
        <v>230302</v>
      </c>
      <c r="Z45" s="108" t="str">
        <f>IFERROR(INDEX($T$3:V$352, $X45, COLUMNS($Y$3:Z45)), "")</f>
        <v>Henry Ford West Bloomfield Hospital (West Bloomfield)</v>
      </c>
    </row>
    <row r="46" spans="3:26" x14ac:dyDescent="0.25">
      <c r="I46" t="s">
        <v>335</v>
      </c>
      <c r="J46" t="s">
        <v>392</v>
      </c>
      <c r="K46" s="104"/>
      <c r="L46" s="104" t="s">
        <v>367</v>
      </c>
      <c r="M46" s="104" t="s">
        <v>475</v>
      </c>
      <c r="N46" s="104">
        <v>44</v>
      </c>
      <c r="O46" s="104" t="str">
        <f t="shared" si="0"/>
        <v/>
      </c>
      <c r="P46" s="104" t="str">
        <f t="shared" si="1"/>
        <v/>
      </c>
      <c r="Q46" s="104" t="str">
        <f>IFERROR(INDEX($M$3:M$350, $P46, COLUMNS($Q$3:Q393)),"")</f>
        <v/>
      </c>
      <c r="R46" s="104"/>
      <c r="S46" t="s">
        <v>465</v>
      </c>
      <c r="T46" s="101">
        <v>230146</v>
      </c>
      <c r="U46" t="s">
        <v>470</v>
      </c>
      <c r="V46">
        <v>44</v>
      </c>
      <c r="W46">
        <f t="shared" si="2"/>
        <v>44</v>
      </c>
      <c r="X46">
        <f t="shared" si="3"/>
        <v>44</v>
      </c>
      <c r="Y46" s="108">
        <f>IFERROR(INDEX($T$3:U$352, $X46, COLUMNS($Y$3:Y46)), "")</f>
        <v>230146</v>
      </c>
      <c r="Z46" s="108" t="str">
        <f>IFERROR(INDEX($T$3:V$352, $X46, COLUMNS($Y$3:Z46)), "")</f>
        <v>Henry Ford Wyandotte Hospital (Wyandotte)</v>
      </c>
    </row>
    <row r="47" spans="3:26" x14ac:dyDescent="0.25">
      <c r="I47" t="s">
        <v>336</v>
      </c>
      <c r="J47" t="s">
        <v>393</v>
      </c>
      <c r="K47" s="104"/>
      <c r="L47" s="104" t="s">
        <v>370</v>
      </c>
      <c r="M47" s="104" t="s">
        <v>414</v>
      </c>
      <c r="N47" s="104">
        <v>45</v>
      </c>
      <c r="O47" s="104" t="str">
        <f t="shared" si="0"/>
        <v/>
      </c>
      <c r="P47" s="104" t="str">
        <f t="shared" si="1"/>
        <v/>
      </c>
      <c r="Q47" s="104" t="str">
        <f>IFERROR(INDEX($M$3:M$350, $P47, COLUMNS($Q$3:Q394)),"")</f>
        <v/>
      </c>
      <c r="R47" s="104"/>
      <c r="S47" t="s">
        <v>471</v>
      </c>
      <c r="T47" s="101">
        <v>90003</v>
      </c>
      <c r="U47" t="s">
        <v>472</v>
      </c>
      <c r="V47">
        <v>45</v>
      </c>
      <c r="W47">
        <f t="shared" si="2"/>
        <v>45</v>
      </c>
      <c r="X47">
        <f t="shared" si="3"/>
        <v>45</v>
      </c>
      <c r="Y47" s="108">
        <f>IFERROR(INDEX($T$3:U$352, $X47, COLUMNS($Y$3:Y47)), "")</f>
        <v>90003</v>
      </c>
      <c r="Z47" s="108" t="str">
        <f>IFERROR(INDEX($T$3:V$352, $X47, COLUMNS($Y$3:Z47)), "")</f>
        <v>Howard University Hospital (Washington)</v>
      </c>
    </row>
    <row r="48" spans="3:26" x14ac:dyDescent="0.25">
      <c r="I48" t="s">
        <v>337</v>
      </c>
      <c r="J48" t="s">
        <v>394</v>
      </c>
      <c r="K48" s="104"/>
      <c r="L48" s="104" t="s">
        <v>370</v>
      </c>
      <c r="M48" s="104" t="s">
        <v>423</v>
      </c>
      <c r="N48" s="104">
        <v>46</v>
      </c>
      <c r="O48" s="104" t="str">
        <f t="shared" si="0"/>
        <v/>
      </c>
      <c r="P48" s="104" t="str">
        <f t="shared" si="1"/>
        <v/>
      </c>
      <c r="Q48" s="104" t="str">
        <f>IFERROR(INDEX($M$3:M$350, $P48, COLUMNS($Q$3:Q395)),"")</f>
        <v/>
      </c>
      <c r="R48" s="104"/>
      <c r="S48" t="s">
        <v>473</v>
      </c>
      <c r="T48" s="101">
        <v>230132</v>
      </c>
      <c r="U48" t="s">
        <v>474</v>
      </c>
      <c r="V48">
        <v>46</v>
      </c>
      <c r="W48">
        <f t="shared" si="2"/>
        <v>46</v>
      </c>
      <c r="X48">
        <f t="shared" si="3"/>
        <v>46</v>
      </c>
      <c r="Y48" s="108">
        <f>IFERROR(INDEX($T$3:U$352, $X48, COLUMNS($Y$3:Y48)), "")</f>
        <v>230132</v>
      </c>
      <c r="Z48" s="108" t="str">
        <f>IFERROR(INDEX($T$3:V$352, $X48, COLUMNS($Y$3:Z48)), "")</f>
        <v>Hurley Medical Center (Flint)</v>
      </c>
    </row>
    <row r="49" spans="9:26" x14ac:dyDescent="0.25">
      <c r="I49" t="s">
        <v>338</v>
      </c>
      <c r="J49" t="s">
        <v>395</v>
      </c>
      <c r="K49" s="104"/>
      <c r="L49" s="104" t="s">
        <v>370</v>
      </c>
      <c r="M49" s="104" t="s">
        <v>581</v>
      </c>
      <c r="N49" s="104">
        <v>47</v>
      </c>
      <c r="O49" s="104" t="str">
        <f t="shared" si="0"/>
        <v/>
      </c>
      <c r="P49" s="104" t="str">
        <f t="shared" si="1"/>
        <v/>
      </c>
      <c r="Q49" s="104" t="str">
        <f>IFERROR(INDEX($M$3:M$350, $P49, COLUMNS($Q$3:Q396)),"")</f>
        <v/>
      </c>
      <c r="R49" s="104"/>
      <c r="S49" t="s">
        <v>475</v>
      </c>
      <c r="T49" s="101">
        <v>190005</v>
      </c>
      <c r="U49" t="s">
        <v>476</v>
      </c>
      <c r="V49">
        <v>47</v>
      </c>
      <c r="W49">
        <f t="shared" si="2"/>
        <v>47</v>
      </c>
      <c r="X49">
        <f t="shared" si="3"/>
        <v>47</v>
      </c>
      <c r="Y49" s="108">
        <f>IFERROR(INDEX($T$3:U$352, $X49, COLUMNS($Y$3:Y49)), "")</f>
        <v>190005</v>
      </c>
      <c r="Z49" s="108" t="str">
        <f>IFERROR(INDEX($T$3:V$352, $X49, COLUMNS($Y$3:Z49)), "")</f>
        <v>Interim LSU Hospital (New Orleans)</v>
      </c>
    </row>
    <row r="50" spans="9:26" x14ac:dyDescent="0.25">
      <c r="I50" t="s">
        <v>339</v>
      </c>
      <c r="J50" t="s">
        <v>396</v>
      </c>
      <c r="K50" s="104"/>
      <c r="L50" s="104" t="s">
        <v>369</v>
      </c>
      <c r="M50" s="104" t="s">
        <v>412</v>
      </c>
      <c r="N50" s="104">
        <v>48</v>
      </c>
      <c r="O50" s="104" t="str">
        <f t="shared" si="0"/>
        <v/>
      </c>
      <c r="P50" s="104" t="str">
        <f t="shared" si="1"/>
        <v/>
      </c>
      <c r="Q50" s="104" t="str">
        <f>IFERROR(INDEX($M$3:M$350, $P50, COLUMNS($Q$3:Q397)),"")</f>
        <v/>
      </c>
      <c r="R50" s="104"/>
      <c r="S50" t="s">
        <v>477</v>
      </c>
      <c r="T50" s="101">
        <v>450039</v>
      </c>
      <c r="U50" t="s">
        <v>478</v>
      </c>
      <c r="V50">
        <v>48</v>
      </c>
      <c r="W50">
        <f t="shared" si="2"/>
        <v>48</v>
      </c>
      <c r="X50">
        <f t="shared" si="3"/>
        <v>48</v>
      </c>
      <c r="Y50" s="108">
        <f>IFERROR(INDEX($T$3:U$352, $X50, COLUMNS($Y$3:Y50)), "")</f>
        <v>450039</v>
      </c>
      <c r="Z50" s="108" t="str">
        <f>IFERROR(INDEX($T$3:V$352, $X50, COLUMNS($Y$3:Z50)), "")</f>
        <v>John Peter Smith Hospital (Fort Worth); JPS Diagnostic &amp; Surgery Hospital of Arlington (Arlington); Trinity Springs Pavilion for Psychiatric Services (Fort Worth)</v>
      </c>
    </row>
    <row r="51" spans="9:26" x14ac:dyDescent="0.25">
      <c r="I51" t="s">
        <v>340</v>
      </c>
      <c r="J51" t="s">
        <v>397</v>
      </c>
      <c r="K51" s="104"/>
      <c r="L51" s="104" t="s">
        <v>371</v>
      </c>
      <c r="M51" s="104" t="s">
        <v>465</v>
      </c>
      <c r="N51" s="104">
        <v>49</v>
      </c>
      <c r="O51" s="104" t="str">
        <f t="shared" si="0"/>
        <v/>
      </c>
      <c r="P51" s="104" t="str">
        <f t="shared" si="1"/>
        <v/>
      </c>
      <c r="Q51" s="104" t="str">
        <f>IFERROR(INDEX($M$3:M$350, $P51, COLUMNS($Q$3:Q398)),"")</f>
        <v/>
      </c>
      <c r="R51" s="104"/>
      <c r="S51" t="s">
        <v>479</v>
      </c>
      <c r="T51" s="101">
        <v>100022</v>
      </c>
      <c r="U51" t="s">
        <v>480</v>
      </c>
      <c r="V51">
        <v>49</v>
      </c>
      <c r="W51">
        <f t="shared" si="2"/>
        <v>49</v>
      </c>
      <c r="X51">
        <f t="shared" si="3"/>
        <v>49</v>
      </c>
      <c r="Y51" s="108">
        <f>IFERROR(INDEX($T$3:U$352, $X51, COLUMNS($Y$3:Y51)), "")</f>
        <v>100022</v>
      </c>
      <c r="Z51" s="108" t="str">
        <f>IFERROR(INDEX($T$3:V$352, $X51, COLUMNS($Y$3:Z51)), "")</f>
        <v>Jackson Memorial Hospital (Miami); Jackson Rehabilitation Hospital (Miami); Jackson South Community Hospital (Miami); Jackson North Medical Center (Miami); Holtz Children's Hospital (Miami)</v>
      </c>
    </row>
    <row r="52" spans="9:26" x14ac:dyDescent="0.25">
      <c r="I52" t="s">
        <v>341</v>
      </c>
      <c r="J52" t="s">
        <v>398</v>
      </c>
      <c r="K52" s="104"/>
      <c r="L52" s="104" t="s">
        <v>371</v>
      </c>
      <c r="M52" s="104" t="s">
        <v>473</v>
      </c>
      <c r="N52" s="104">
        <v>50</v>
      </c>
      <c r="O52" s="104" t="str">
        <f t="shared" si="0"/>
        <v/>
      </c>
      <c r="P52" s="104" t="str">
        <f t="shared" si="1"/>
        <v/>
      </c>
      <c r="Q52" s="104" t="str">
        <f>IFERROR(INDEX($M$3:M$350, $P52, COLUMNS($Q$3:Q399)),"")</f>
        <v/>
      </c>
      <c r="R52" s="104"/>
      <c r="S52" t="s">
        <v>481</v>
      </c>
      <c r="T52" s="101">
        <v>50315</v>
      </c>
      <c r="U52" t="s">
        <v>482</v>
      </c>
      <c r="V52">
        <v>50</v>
      </c>
      <c r="W52">
        <f t="shared" si="2"/>
        <v>50</v>
      </c>
      <c r="X52">
        <f t="shared" si="3"/>
        <v>50</v>
      </c>
      <c r="Y52" s="108">
        <f>IFERROR(INDEX($T$3:U$352, $X52, COLUMNS($Y$3:Y52)), "")</f>
        <v>50315</v>
      </c>
      <c r="Z52" s="108" t="str">
        <f>IFERROR(INDEX($T$3:V$352, $X52, COLUMNS($Y$3:Z52)), "")</f>
        <v>Kern Medical Center (Bakersfield)</v>
      </c>
    </row>
    <row r="53" spans="9:26" x14ac:dyDescent="0.25">
      <c r="I53" t="s">
        <v>342</v>
      </c>
      <c r="J53" t="s">
        <v>399</v>
      </c>
      <c r="K53" s="104"/>
      <c r="L53" s="104" t="s">
        <v>372</v>
      </c>
      <c r="M53" s="104" t="s">
        <v>463</v>
      </c>
      <c r="N53" s="104">
        <v>51</v>
      </c>
      <c r="O53" s="104" t="str">
        <f t="shared" si="0"/>
        <v/>
      </c>
      <c r="P53" s="104" t="str">
        <f t="shared" si="1"/>
        <v/>
      </c>
      <c r="Q53" s="104" t="str">
        <f>IFERROR(INDEX($M$3:M$350, $P53, COLUMNS($Q$3:Q400)),"")</f>
        <v/>
      </c>
      <c r="R53" s="104"/>
      <c r="S53" t="s">
        <v>483</v>
      </c>
      <c r="T53" s="101">
        <v>100012</v>
      </c>
      <c r="U53" t="s">
        <v>484</v>
      </c>
      <c r="V53">
        <v>51</v>
      </c>
      <c r="W53">
        <f t="shared" si="2"/>
        <v>51</v>
      </c>
      <c r="X53">
        <f t="shared" si="3"/>
        <v>51</v>
      </c>
      <c r="Y53" s="108">
        <f>IFERROR(INDEX($T$3:U$352, $X53, COLUMNS($Y$3:Y53)), "")</f>
        <v>100012</v>
      </c>
      <c r="Z53" s="108" t="str">
        <f>IFERROR(INDEX($T$3:V$352, $X53, COLUMNS($Y$3:Z53)), "")</f>
        <v>Lee Memorial Hospital  (Fort Myers); HealthPark Medical Center (Fort Myers); The Golisano Children's Hospital of Southwest Florida (Forth Myers); The Rehabilitation Hospital (Fort Myers)</v>
      </c>
    </row>
    <row r="54" spans="9:26" x14ac:dyDescent="0.25">
      <c r="I54" t="s">
        <v>279</v>
      </c>
      <c r="J54">
        <v>0</v>
      </c>
      <c r="K54" s="104"/>
      <c r="L54" s="104" t="s">
        <v>372</v>
      </c>
      <c r="M54" s="104" t="s">
        <v>536</v>
      </c>
      <c r="N54" s="104">
        <v>52</v>
      </c>
      <c r="O54" s="104" t="str">
        <f t="shared" si="0"/>
        <v/>
      </c>
      <c r="P54" s="104" t="str">
        <f t="shared" si="1"/>
        <v/>
      </c>
      <c r="Q54" s="104" t="str">
        <f>IFERROR(INDEX($M$3:M$350, $P54, COLUMNS($Q$3:Q401)),"")</f>
        <v/>
      </c>
      <c r="R54" s="104"/>
      <c r="S54" t="s">
        <v>483</v>
      </c>
      <c r="T54" s="101">
        <v>100244</v>
      </c>
      <c r="U54" t="s">
        <v>485</v>
      </c>
      <c r="V54">
        <v>52</v>
      </c>
      <c r="W54">
        <f t="shared" si="2"/>
        <v>52</v>
      </c>
      <c r="X54">
        <f t="shared" si="3"/>
        <v>52</v>
      </c>
      <c r="Y54" s="108">
        <f>IFERROR(INDEX($T$3:U$352, $X54, COLUMNS($Y$3:Y54)), "")</f>
        <v>100244</v>
      </c>
      <c r="Z54" s="108" t="str">
        <f>IFERROR(INDEX($T$3:V$352, $X54, COLUMNS($Y$3:Z54)), "")</f>
        <v>Cape Coral Hospital (Fort Myers)</v>
      </c>
    </row>
    <row r="55" spans="9:26" x14ac:dyDescent="0.25">
      <c r="K55" s="104"/>
      <c r="L55" s="104" t="s">
        <v>374</v>
      </c>
      <c r="M55" s="104" t="s">
        <v>574</v>
      </c>
      <c r="N55" s="104">
        <v>53</v>
      </c>
      <c r="O55" s="104" t="str">
        <f t="shared" si="0"/>
        <v/>
      </c>
      <c r="P55" s="104" t="str">
        <f t="shared" si="1"/>
        <v/>
      </c>
      <c r="Q55" s="104" t="str">
        <f>IFERROR(INDEX($M$3:M$350, $P55, COLUMNS($Q$3:Q402)),"")</f>
        <v/>
      </c>
      <c r="R55" s="104"/>
      <c r="S55" t="s">
        <v>483</v>
      </c>
      <c r="T55" s="101">
        <v>100220</v>
      </c>
      <c r="U55" t="s">
        <v>486</v>
      </c>
      <c r="V55">
        <v>53</v>
      </c>
      <c r="W55">
        <f t="shared" si="2"/>
        <v>53</v>
      </c>
      <c r="X55">
        <f t="shared" si="3"/>
        <v>53</v>
      </c>
      <c r="Y55" s="108">
        <f>IFERROR(INDEX($T$3:U$352, $X55, COLUMNS($Y$3:Y55)), "")</f>
        <v>100220</v>
      </c>
      <c r="Z55" s="108" t="str">
        <f>IFERROR(INDEX($T$3:V$352, $X55, COLUMNS($Y$3:Z55)), "")</f>
        <v>Gulf Coast Medical Center (Fort Myers)</v>
      </c>
    </row>
    <row r="56" spans="9:26" x14ac:dyDescent="0.25">
      <c r="K56" s="104"/>
      <c r="L56" s="104" t="s">
        <v>374</v>
      </c>
      <c r="M56" s="104" t="s">
        <v>632</v>
      </c>
      <c r="N56" s="104">
        <v>54</v>
      </c>
      <c r="O56" s="104" t="str">
        <f t="shared" si="0"/>
        <v/>
      </c>
      <c r="P56" s="104" t="str">
        <f t="shared" si="1"/>
        <v/>
      </c>
      <c r="Q56" s="104" t="str">
        <f>IFERROR(INDEX($M$3:M$350, $P56, COLUMNS($Q$3:Q403)),"")</f>
        <v/>
      </c>
      <c r="R56" s="104"/>
      <c r="S56" t="s">
        <v>487</v>
      </c>
      <c r="T56" s="101">
        <v>50376</v>
      </c>
      <c r="U56" t="s">
        <v>488</v>
      </c>
      <c r="V56">
        <v>54</v>
      </c>
      <c r="W56">
        <f t="shared" si="2"/>
        <v>54</v>
      </c>
      <c r="X56">
        <f t="shared" si="3"/>
        <v>54</v>
      </c>
      <c r="Y56" s="108">
        <f>IFERROR(INDEX($T$3:U$352, $X56, COLUMNS($Y$3:Y56)), "")</f>
        <v>50376</v>
      </c>
      <c r="Z56" s="108" t="str">
        <f>IFERROR(INDEX($T$3:V$352, $X56, COLUMNS($Y$3:Z56)), "")</f>
        <v>Harbor-UCLA Medical Center (Torrance)</v>
      </c>
    </row>
    <row r="57" spans="9:26" x14ac:dyDescent="0.25">
      <c r="K57" s="104"/>
      <c r="L57" s="104" t="s">
        <v>373</v>
      </c>
      <c r="M57" s="104" t="s">
        <v>628</v>
      </c>
      <c r="N57" s="104">
        <v>55</v>
      </c>
      <c r="O57" s="104" t="str">
        <f t="shared" si="0"/>
        <v/>
      </c>
      <c r="P57" s="104" t="str">
        <f t="shared" si="1"/>
        <v/>
      </c>
      <c r="Q57" s="104" t="str">
        <f>IFERROR(INDEX($M$3:M$350, $P57, COLUMNS($Q$3:Q404)),"")</f>
        <v/>
      </c>
      <c r="R57" s="104"/>
      <c r="S57" t="s">
        <v>487</v>
      </c>
      <c r="T57" s="101">
        <v>50373</v>
      </c>
      <c r="U57" t="s">
        <v>489</v>
      </c>
      <c r="V57">
        <v>55</v>
      </c>
      <c r="W57">
        <f t="shared" si="2"/>
        <v>55</v>
      </c>
      <c r="X57">
        <f t="shared" si="3"/>
        <v>55</v>
      </c>
      <c r="Y57" s="108">
        <f>IFERROR(INDEX($T$3:U$352, $X57, COLUMNS($Y$3:Y57)), "")</f>
        <v>50373</v>
      </c>
      <c r="Z57" s="108" t="str">
        <f>IFERROR(INDEX($T$3:V$352, $X57, COLUMNS($Y$3:Z57)), "")</f>
        <v>LAC+USC Medical Center (Los Angeles)</v>
      </c>
    </row>
    <row r="58" spans="9:26" x14ac:dyDescent="0.25">
      <c r="K58" s="104"/>
      <c r="L58" s="104" t="s">
        <v>382</v>
      </c>
      <c r="M58" s="104" t="s">
        <v>430</v>
      </c>
      <c r="N58" s="104">
        <v>56</v>
      </c>
      <c r="O58" s="104" t="str">
        <f t="shared" si="0"/>
        <v/>
      </c>
      <c r="P58" s="104" t="str">
        <f t="shared" si="1"/>
        <v/>
      </c>
      <c r="Q58" s="104" t="str">
        <f>IFERROR(INDEX($M$3:M$350, $P58, COLUMNS($Q$3:Q405)),"")</f>
        <v/>
      </c>
      <c r="R58" s="104"/>
      <c r="S58" t="s">
        <v>487</v>
      </c>
      <c r="T58" s="101">
        <v>50040</v>
      </c>
      <c r="U58" t="s">
        <v>490</v>
      </c>
      <c r="V58">
        <v>56</v>
      </c>
      <c r="W58">
        <f t="shared" si="2"/>
        <v>56</v>
      </c>
      <c r="X58">
        <f t="shared" si="3"/>
        <v>56</v>
      </c>
      <c r="Y58" s="108">
        <f>IFERROR(INDEX($T$3:U$352, $X58, COLUMNS($Y$3:Y58)), "")</f>
        <v>50040</v>
      </c>
      <c r="Z58" s="108" t="str">
        <f>IFERROR(INDEX($T$3:V$352, $X58, COLUMNS($Y$3:Z58)), "")</f>
        <v>Olive View-UCLA Medical Center (Sylmar)</v>
      </c>
    </row>
    <row r="59" spans="9:26" x14ac:dyDescent="0.25">
      <c r="K59" s="104"/>
      <c r="L59" s="104" t="s">
        <v>379</v>
      </c>
      <c r="M59" s="104" t="s">
        <v>410</v>
      </c>
      <c r="N59" s="104">
        <v>57</v>
      </c>
      <c r="O59" s="104" t="str">
        <f t="shared" si="0"/>
        <v/>
      </c>
      <c r="P59" s="104" t="str">
        <f t="shared" si="1"/>
        <v/>
      </c>
      <c r="Q59" s="104" t="str">
        <f>IFERROR(INDEX($M$3:M$350, $P59, COLUMNS($Q$3:Q406)),"")</f>
        <v/>
      </c>
      <c r="R59" s="104"/>
      <c r="S59" t="s">
        <v>487</v>
      </c>
      <c r="T59" s="101">
        <v>50717</v>
      </c>
      <c r="U59" t="s">
        <v>491</v>
      </c>
      <c r="V59">
        <v>57</v>
      </c>
      <c r="W59">
        <f t="shared" si="2"/>
        <v>57</v>
      </c>
      <c r="X59">
        <f t="shared" si="3"/>
        <v>57</v>
      </c>
      <c r="Y59" s="108">
        <f>IFERROR(INDEX($T$3:U$352, $X59, COLUMNS($Y$3:Y59)), "")</f>
        <v>50717</v>
      </c>
      <c r="Z59" s="108" t="str">
        <f>IFERROR(INDEX($T$3:V$352, $X59, COLUMNS($Y$3:Z59)), "")</f>
        <v>Rancho Los Amigos National Rehabilitation Center (Downey)</v>
      </c>
    </row>
    <row r="60" spans="9:26" x14ac:dyDescent="0.25">
      <c r="K60" s="104"/>
      <c r="L60" s="104" t="s">
        <v>379</v>
      </c>
      <c r="M60" s="104" t="s">
        <v>603</v>
      </c>
      <c r="N60" s="104">
        <v>58</v>
      </c>
      <c r="O60" s="104" t="str">
        <f t="shared" si="0"/>
        <v/>
      </c>
      <c r="P60" s="104" t="str">
        <f t="shared" si="1"/>
        <v/>
      </c>
      <c r="Q60" s="104" t="str">
        <f>IFERROR(INDEX($M$3:M$350, $P60, COLUMNS($Q$3:Q407)),"")</f>
        <v/>
      </c>
      <c r="R60" s="104"/>
      <c r="S60" t="s">
        <v>492</v>
      </c>
      <c r="T60" s="101">
        <v>420004</v>
      </c>
      <c r="U60" t="s">
        <v>493</v>
      </c>
      <c r="V60">
        <v>58</v>
      </c>
      <c r="W60">
        <f t="shared" si="2"/>
        <v>58</v>
      </c>
      <c r="X60">
        <f t="shared" si="3"/>
        <v>58</v>
      </c>
      <c r="Y60" s="108">
        <f>IFERROR(INDEX($T$3:U$352, $X60, COLUMNS($Y$3:Y60)), "")</f>
        <v>420004</v>
      </c>
      <c r="Z60" s="108" t="str">
        <f>IFERROR(INDEX($T$3:V$352, $X60, COLUMNS($Y$3:Z60)), "")</f>
        <v>MUSC Medical University of South Carolina - University Hospital (Charleston); The Institute of Psychiatry (Charleston); Medical University of South Carolina - Ashley River Tower (Charleston); Medical University of South Carolina - Children's Hospital (Charleston)</v>
      </c>
    </row>
    <row r="61" spans="9:26" x14ac:dyDescent="0.25">
      <c r="K61" s="104"/>
      <c r="L61" s="104" t="s">
        <v>380</v>
      </c>
      <c r="M61" s="104" t="s">
        <v>605</v>
      </c>
      <c r="N61" s="104">
        <v>59</v>
      </c>
      <c r="O61" s="104" t="str">
        <f t="shared" si="0"/>
        <v/>
      </c>
      <c r="P61" s="104" t="str">
        <f t="shared" si="1"/>
        <v/>
      </c>
      <c r="Q61" s="104" t="str">
        <f>IFERROR(INDEX($M$3:M$350, $P61, COLUMNS($Q$3:Q408)),"")</f>
        <v/>
      </c>
      <c r="R61" s="104"/>
      <c r="S61" t="s">
        <v>494</v>
      </c>
      <c r="T61" s="101">
        <v>30022</v>
      </c>
      <c r="U61" t="s">
        <v>495</v>
      </c>
      <c r="V61">
        <v>59</v>
      </c>
      <c r="W61">
        <f t="shared" si="2"/>
        <v>59</v>
      </c>
      <c r="X61">
        <f t="shared" si="3"/>
        <v>59</v>
      </c>
      <c r="Y61" s="108">
        <f>IFERROR(INDEX($T$3:U$352, $X61, COLUMNS($Y$3:Y61)), "")</f>
        <v>30022</v>
      </c>
      <c r="Z61" s="108" t="str">
        <f>IFERROR(INDEX($T$3:V$352, $X61, COLUMNS($Y$3:Z61)), "")</f>
        <v>Maricopa Medical Center (Phoenix); Desert Vista Behavioral Health Center (Mesa)</v>
      </c>
    </row>
    <row r="62" spans="9:26" x14ac:dyDescent="0.25">
      <c r="K62" s="104"/>
      <c r="L62" s="104" t="s">
        <v>380</v>
      </c>
      <c r="M62" s="104" t="s">
        <v>586</v>
      </c>
      <c r="N62" s="104">
        <v>60</v>
      </c>
      <c r="O62" s="104" t="str">
        <f t="shared" si="0"/>
        <v/>
      </c>
      <c r="P62" s="104" t="str">
        <f t="shared" si="1"/>
        <v/>
      </c>
      <c r="Q62" s="104" t="str">
        <f>IFERROR(INDEX($M$3:M$350, $P62, COLUMNS($Q$3:Q409)),"")</f>
        <v/>
      </c>
      <c r="R62" s="104"/>
      <c r="S62" t="s">
        <v>496</v>
      </c>
      <c r="T62" s="101">
        <v>100038</v>
      </c>
      <c r="U62" t="s">
        <v>497</v>
      </c>
      <c r="V62">
        <v>60</v>
      </c>
      <c r="W62">
        <f t="shared" si="2"/>
        <v>60</v>
      </c>
      <c r="X62">
        <f t="shared" si="3"/>
        <v>60</v>
      </c>
      <c r="Y62" s="108">
        <f>IFERROR(INDEX($T$3:U$352, $X62, COLUMNS($Y$3:Y62)), "")</f>
        <v>100038</v>
      </c>
      <c r="Z62" s="108" t="str">
        <f>IFERROR(INDEX($T$3:V$352, $X62, COLUMNS($Y$3:Z62)), "")</f>
        <v>Memorial Regional Hospital (Hollywood); Joe DiMaggio Children's Hospital (Hollywood); Memorial Regional Hospital South (Hollywood)</v>
      </c>
    </row>
    <row r="63" spans="9:26" x14ac:dyDescent="0.25">
      <c r="K63" s="104"/>
      <c r="L63" s="104" t="s">
        <v>377</v>
      </c>
      <c r="M63" s="104" t="s">
        <v>607</v>
      </c>
      <c r="N63" s="104">
        <v>61</v>
      </c>
      <c r="O63" s="104" t="str">
        <f t="shared" si="0"/>
        <v/>
      </c>
      <c r="P63" s="104" t="str">
        <f t="shared" si="1"/>
        <v/>
      </c>
      <c r="Q63" s="104" t="str">
        <f>IFERROR(INDEX($M$3:M$350, $P63, COLUMNS($Q$3:Q410)),"")</f>
        <v/>
      </c>
      <c r="R63" s="104"/>
      <c r="S63" t="s">
        <v>496</v>
      </c>
      <c r="T63" s="101">
        <v>100285</v>
      </c>
      <c r="U63" t="s">
        <v>498</v>
      </c>
      <c r="V63">
        <v>61</v>
      </c>
      <c r="W63">
        <f t="shared" si="2"/>
        <v>61</v>
      </c>
      <c r="X63">
        <f t="shared" si="3"/>
        <v>61</v>
      </c>
      <c r="Y63" s="108">
        <f>IFERROR(INDEX($T$3:U$352, $X63, COLUMNS($Y$3:Y63)), "")</f>
        <v>100285</v>
      </c>
      <c r="Z63" s="108" t="str">
        <f>IFERROR(INDEX($T$3:V$352, $X63, COLUMNS($Y$3:Z63)), "")</f>
        <v>Memorial Hospital Miramar (Miramar)</v>
      </c>
    </row>
    <row r="64" spans="9:26" x14ac:dyDescent="0.25">
      <c r="K64" s="104"/>
      <c r="L64" s="104" t="s">
        <v>381</v>
      </c>
      <c r="M64" s="104" t="s">
        <v>448</v>
      </c>
      <c r="N64" s="104">
        <v>62</v>
      </c>
      <c r="O64" s="104" t="str">
        <f t="shared" si="0"/>
        <v/>
      </c>
      <c r="P64" s="104" t="str">
        <f t="shared" si="1"/>
        <v/>
      </c>
      <c r="Q64" s="104" t="str">
        <f>IFERROR(INDEX($M$3:M$350, $P64, COLUMNS($Q$3:Q411)),"")</f>
        <v/>
      </c>
      <c r="R64" s="104"/>
      <c r="S64" t="s">
        <v>496</v>
      </c>
      <c r="T64" s="101">
        <v>100230</v>
      </c>
      <c r="U64" t="s">
        <v>499</v>
      </c>
      <c r="V64">
        <v>62</v>
      </c>
      <c r="W64">
        <f t="shared" si="2"/>
        <v>62</v>
      </c>
      <c r="X64">
        <f t="shared" si="3"/>
        <v>62</v>
      </c>
      <c r="Y64" s="108">
        <f>IFERROR(INDEX($T$3:U$352, $X64, COLUMNS($Y$3:Y64)), "")</f>
        <v>100230</v>
      </c>
      <c r="Z64" s="108" t="str">
        <f>IFERROR(INDEX($T$3:V$352, $X64, COLUMNS($Y$3:Z64)), "")</f>
        <v>Memorial Hospital Pembroke (Pembroke Pines)</v>
      </c>
    </row>
    <row r="65" spans="11:26" x14ac:dyDescent="0.25">
      <c r="K65" s="104"/>
      <c r="L65" s="104" t="s">
        <v>381</v>
      </c>
      <c r="M65" s="104" t="s">
        <v>505</v>
      </c>
      <c r="N65" s="104">
        <v>63</v>
      </c>
      <c r="O65" s="104" t="str">
        <f t="shared" si="0"/>
        <v/>
      </c>
      <c r="P65" s="104" t="str">
        <f t="shared" si="1"/>
        <v/>
      </c>
      <c r="Q65" s="104" t="str">
        <f>IFERROR(INDEX($M$3:M$350, $P65, COLUMNS($Q$3:Q412)),"")</f>
        <v/>
      </c>
      <c r="R65" s="104"/>
      <c r="S65" t="s">
        <v>496</v>
      </c>
      <c r="T65" s="101">
        <v>100281</v>
      </c>
      <c r="U65" t="s">
        <v>500</v>
      </c>
      <c r="V65">
        <v>63</v>
      </c>
      <c r="W65">
        <f t="shared" si="2"/>
        <v>63</v>
      </c>
      <c r="X65">
        <f t="shared" si="3"/>
        <v>63</v>
      </c>
      <c r="Y65" s="108">
        <f>IFERROR(INDEX($T$3:U$352, $X65, COLUMNS($Y$3:Y65)), "")</f>
        <v>100281</v>
      </c>
      <c r="Z65" s="108" t="str">
        <f>IFERROR(INDEX($T$3:V$352, $X65, COLUMNS($Y$3:Z65)), "")</f>
        <v>Memorial Hospital West (Pembroke Pines)</v>
      </c>
    </row>
    <row r="66" spans="11:26" x14ac:dyDescent="0.25">
      <c r="K66" s="104"/>
      <c r="L66" s="104" t="s">
        <v>381</v>
      </c>
      <c r="M66" s="104" t="s">
        <v>521</v>
      </c>
      <c r="N66" s="104">
        <v>64</v>
      </c>
      <c r="O66" s="104" t="str">
        <f t="shared" si="0"/>
        <v/>
      </c>
      <c r="P66" s="104" t="str">
        <f t="shared" si="1"/>
        <v/>
      </c>
      <c r="Q66" s="104" t="str">
        <f>IFERROR(INDEX($M$3:M$350, $P66, COLUMNS($Q$3:Q413)),"")</f>
        <v/>
      </c>
      <c r="R66" s="104"/>
      <c r="S66" t="s">
        <v>501</v>
      </c>
      <c r="T66" s="101">
        <v>440111</v>
      </c>
      <c r="U66" t="s">
        <v>502</v>
      </c>
      <c r="V66">
        <v>64</v>
      </c>
      <c r="W66">
        <f t="shared" si="2"/>
        <v>64</v>
      </c>
      <c r="X66">
        <f t="shared" si="3"/>
        <v>64</v>
      </c>
      <c r="Y66" s="108">
        <f>IFERROR(INDEX($T$3:U$352, $X66, COLUMNS($Y$3:Y66)), "")</f>
        <v>440111</v>
      </c>
      <c r="Z66" s="108" t="str">
        <f>IFERROR(INDEX($T$3:V$352, $X66, COLUMNS($Y$3:Z66)), "")</f>
        <v>Nashville General Hospital at Meharry (Nashville)</v>
      </c>
    </row>
    <row r="67" spans="11:26" x14ac:dyDescent="0.25">
      <c r="K67" s="104"/>
      <c r="L67" s="104" t="s">
        <v>381</v>
      </c>
      <c r="M67" s="104" t="s">
        <v>542</v>
      </c>
      <c r="N67" s="104">
        <v>65</v>
      </c>
      <c r="O67" s="104" t="str">
        <f t="shared" si="0"/>
        <v/>
      </c>
      <c r="P67" s="104" t="str">
        <f t="shared" si="1"/>
        <v/>
      </c>
      <c r="Q67" s="104" t="str">
        <f>IFERROR(INDEX($M$3:M$350, $P67, COLUMNS($Q$3:Q414)),"")</f>
        <v/>
      </c>
      <c r="R67" s="104"/>
      <c r="S67" t="s">
        <v>503</v>
      </c>
      <c r="T67" s="101">
        <v>50248</v>
      </c>
      <c r="U67" t="s">
        <v>504</v>
      </c>
      <c r="V67">
        <v>65</v>
      </c>
      <c r="W67">
        <f t="shared" si="2"/>
        <v>65</v>
      </c>
      <c r="X67">
        <f t="shared" si="3"/>
        <v>65</v>
      </c>
      <c r="Y67" s="108">
        <f>IFERROR(INDEX($T$3:U$352, $X67, COLUMNS($Y$3:Y67)), "")</f>
        <v>50248</v>
      </c>
      <c r="Z67" s="108" t="str">
        <f>IFERROR(INDEX($T$3:V$352, $X67, COLUMNS($Y$3:Z67)), "")</f>
        <v>Natividad Medical Center (Salinas)</v>
      </c>
    </row>
    <row r="68" spans="11:26" x14ac:dyDescent="0.25">
      <c r="K68" s="104"/>
      <c r="L68" s="104" t="s">
        <v>381</v>
      </c>
      <c r="M68" s="104" t="s">
        <v>650</v>
      </c>
      <c r="N68" s="104">
        <v>66</v>
      </c>
      <c r="O68" s="104" t="str">
        <f t="shared" ref="O68:O131" si="4">IF(ISNUMBER(SEARCH($K$4, L68)), N68, "")</f>
        <v/>
      </c>
      <c r="P68" s="104" t="str">
        <f t="shared" ref="P68:P131" si="5">IFERROR(SMALL($O$3:$O$352, N68), "")</f>
        <v/>
      </c>
      <c r="Q68" s="104" t="str">
        <f>IFERROR(INDEX($M$3:M$350, $P68, COLUMNS($Q$3:Q415)),"")</f>
        <v/>
      </c>
      <c r="R68" s="104"/>
      <c r="S68" t="s">
        <v>505</v>
      </c>
      <c r="T68" s="101">
        <v>330204</v>
      </c>
      <c r="U68" t="s">
        <v>506</v>
      </c>
      <c r="V68">
        <v>66</v>
      </c>
      <c r="W68">
        <f t="shared" ref="W68:W131" si="6">IF(ISNUMBER(SEARCH($R$3, S68)), V68, "")</f>
        <v>66</v>
      </c>
      <c r="X68">
        <f t="shared" si="3"/>
        <v>66</v>
      </c>
      <c r="Y68" s="108">
        <f>IFERROR(INDEX($T$3:U$352, $X68, COLUMNS($Y$3:Y68)), "")</f>
        <v>330204</v>
      </c>
      <c r="Z68" s="108" t="str">
        <f>IFERROR(INDEX($T$3:V$352, $X68, COLUMNS($Y$3:Z68)), "")</f>
        <v>Bellevue Hospital Center (New York)</v>
      </c>
    </row>
    <row r="69" spans="11:26" x14ac:dyDescent="0.25">
      <c r="K69" s="104"/>
      <c r="L69" s="104" t="s">
        <v>384</v>
      </c>
      <c r="M69" s="104" t="s">
        <v>566</v>
      </c>
      <c r="N69" s="104">
        <v>67</v>
      </c>
      <c r="O69" s="104" t="str">
        <f t="shared" si="4"/>
        <v/>
      </c>
      <c r="P69" s="104" t="str">
        <f t="shared" si="5"/>
        <v/>
      </c>
      <c r="Q69" s="104" t="str">
        <f>IFERROR(INDEX($M$3:M$350, $P69, COLUMNS($Q$3:Q416)),"")</f>
        <v/>
      </c>
      <c r="R69" s="104"/>
      <c r="S69" t="s">
        <v>505</v>
      </c>
      <c r="T69" s="101">
        <v>332016</v>
      </c>
      <c r="U69" t="s">
        <v>507</v>
      </c>
      <c r="V69">
        <v>67</v>
      </c>
      <c r="W69">
        <f t="shared" si="6"/>
        <v>67</v>
      </c>
      <c r="X69">
        <f t="shared" ref="X69:X132" si="7">IFERROR(SMALL($W$3:$W$165, V69), "")</f>
        <v>67</v>
      </c>
      <c r="Y69" s="108">
        <f>IFERROR(INDEX($T$3:U$352, $X69, COLUMNS($Y$3:Y69)), "")</f>
        <v>332016</v>
      </c>
      <c r="Z69" s="108" t="str">
        <f>IFERROR(INDEX($T$3:V$352, $X69, COLUMNS($Y$3:Z69)), "")</f>
        <v>Coler-Goldwater Specialty Hospital &amp; Nursing Facility - Coler Campus (Roosevelt Island)</v>
      </c>
    </row>
    <row r="70" spans="11:26" x14ac:dyDescent="0.25">
      <c r="K70" s="104"/>
      <c r="L70" s="104" t="s">
        <v>384</v>
      </c>
      <c r="M70" s="104" t="s">
        <v>568</v>
      </c>
      <c r="N70" s="104">
        <v>68</v>
      </c>
      <c r="O70" s="104" t="str">
        <f t="shared" si="4"/>
        <v/>
      </c>
      <c r="P70" s="104" t="str">
        <f t="shared" si="5"/>
        <v/>
      </c>
      <c r="Q70" s="104" t="str">
        <f>IFERROR(INDEX($M$3:M$350, $P70, COLUMNS($Q$3:Q417)),"")</f>
        <v/>
      </c>
      <c r="R70" s="104"/>
      <c r="S70" t="s">
        <v>505</v>
      </c>
      <c r="T70" s="101">
        <v>332008</v>
      </c>
      <c r="U70" t="s">
        <v>508</v>
      </c>
      <c r="V70">
        <v>68</v>
      </c>
      <c r="W70">
        <f t="shared" si="6"/>
        <v>68</v>
      </c>
      <c r="X70">
        <f t="shared" si="7"/>
        <v>68</v>
      </c>
      <c r="Y70" s="108">
        <f>IFERROR(INDEX($T$3:U$352, $X70, COLUMNS($Y$3:Y70)), "")</f>
        <v>332008</v>
      </c>
      <c r="Z70" s="108" t="str">
        <f>IFERROR(INDEX($T$3:V$352, $X70, COLUMNS($Y$3:Z70)), "")</f>
        <v>Coler-Goldwater Specialty Hospital &amp; Nursing Facility - Goldwater Campus (Roosevelt Island)</v>
      </c>
    </row>
    <row r="71" spans="11:26" x14ac:dyDescent="0.25">
      <c r="K71" s="104"/>
      <c r="L71" s="104" t="s">
        <v>384</v>
      </c>
      <c r="M71" s="104" t="s">
        <v>577</v>
      </c>
      <c r="N71" s="104">
        <v>69</v>
      </c>
      <c r="O71" s="104" t="str">
        <f t="shared" si="4"/>
        <v/>
      </c>
      <c r="P71" s="104" t="str">
        <f t="shared" si="5"/>
        <v/>
      </c>
      <c r="Q71" s="104" t="str">
        <f>IFERROR(INDEX($M$3:M$350, $P71, COLUMNS($Q$3:Q418)),"")</f>
        <v/>
      </c>
      <c r="R71" s="104"/>
      <c r="S71" t="s">
        <v>505</v>
      </c>
      <c r="T71" s="101">
        <v>330196</v>
      </c>
      <c r="U71" t="s">
        <v>509</v>
      </c>
      <c r="V71">
        <v>69</v>
      </c>
      <c r="W71">
        <f t="shared" si="6"/>
        <v>69</v>
      </c>
      <c r="X71">
        <f t="shared" si="7"/>
        <v>69</v>
      </c>
      <c r="Y71" s="108">
        <f>IFERROR(INDEX($T$3:U$352, $X71, COLUMNS($Y$3:Y71)), "")</f>
        <v>330196</v>
      </c>
      <c r="Z71" s="108" t="str">
        <f>IFERROR(INDEX($T$3:V$352, $X71, COLUMNS($Y$3:Z71)), "")</f>
        <v>Coney Island Hospital (Brooklyn)</v>
      </c>
    </row>
    <row r="72" spans="11:26" x14ac:dyDescent="0.25">
      <c r="K72" s="104"/>
      <c r="L72" s="104" t="s">
        <v>385</v>
      </c>
      <c r="M72" s="104" t="s">
        <v>523</v>
      </c>
      <c r="N72" s="104">
        <v>70</v>
      </c>
      <c r="O72" s="104" t="str">
        <f t="shared" si="4"/>
        <v/>
      </c>
      <c r="P72" s="104" t="str">
        <f t="shared" si="5"/>
        <v/>
      </c>
      <c r="Q72" s="104" t="str">
        <f>IFERROR(INDEX($M$3:M$350, $P72, COLUMNS($Q$3:Q419)),"")</f>
        <v/>
      </c>
      <c r="R72" s="104"/>
      <c r="S72" t="s">
        <v>505</v>
      </c>
      <c r="T72" s="101">
        <v>330128</v>
      </c>
      <c r="U72" t="s">
        <v>510</v>
      </c>
      <c r="V72">
        <v>70</v>
      </c>
      <c r="W72">
        <f t="shared" si="6"/>
        <v>70</v>
      </c>
      <c r="X72">
        <f t="shared" si="7"/>
        <v>70</v>
      </c>
      <c r="Y72" s="108">
        <f>IFERROR(INDEX($T$3:U$352, $X72, COLUMNS($Y$3:Y72)), "")</f>
        <v>330128</v>
      </c>
      <c r="Z72" s="108" t="str">
        <f>IFERROR(INDEX($T$3:V$352, $X72, COLUMNS($Y$3:Z72)), "")</f>
        <v>Elmhurst Hospital Center (Elmhurst)</v>
      </c>
    </row>
    <row r="73" spans="11:26" x14ac:dyDescent="0.25">
      <c r="K73" s="104"/>
      <c r="L73" s="104" t="s">
        <v>387</v>
      </c>
      <c r="M73" s="104" t="s">
        <v>445</v>
      </c>
      <c r="N73" s="104">
        <v>71</v>
      </c>
      <c r="O73" s="104" t="str">
        <f t="shared" si="4"/>
        <v/>
      </c>
      <c r="P73" s="104" t="str">
        <f t="shared" si="5"/>
        <v/>
      </c>
      <c r="Q73" s="104" t="str">
        <f>IFERROR(INDEX($M$3:M$350, $P73, COLUMNS($Q$3:Q420)),"")</f>
        <v/>
      </c>
      <c r="R73" s="104"/>
      <c r="S73" t="s">
        <v>505</v>
      </c>
      <c r="T73" s="101">
        <v>330240</v>
      </c>
      <c r="U73" t="s">
        <v>511</v>
      </c>
      <c r="V73">
        <v>71</v>
      </c>
      <c r="W73">
        <f t="shared" si="6"/>
        <v>71</v>
      </c>
      <c r="X73">
        <f t="shared" si="7"/>
        <v>71</v>
      </c>
      <c r="Y73" s="108">
        <f>IFERROR(INDEX($T$3:U$352, $X73, COLUMNS($Y$3:Y73)), "")</f>
        <v>330240</v>
      </c>
      <c r="Z73" s="108" t="str">
        <f>IFERROR(INDEX($T$3:V$352, $X73, COLUMNS($Y$3:Z73)), "")</f>
        <v>Harlem Hospital Center (New York)</v>
      </c>
    </row>
    <row r="74" spans="11:26" x14ac:dyDescent="0.25">
      <c r="K74" s="104"/>
      <c r="L74" s="104" t="s">
        <v>387</v>
      </c>
      <c r="M74" s="104" t="s">
        <v>563</v>
      </c>
      <c r="N74" s="104">
        <v>72</v>
      </c>
      <c r="O74" s="104" t="str">
        <f t="shared" si="4"/>
        <v/>
      </c>
      <c r="P74" s="104" t="str">
        <f t="shared" si="5"/>
        <v/>
      </c>
      <c r="Q74" s="104" t="str">
        <f>IFERROR(INDEX($M$3:M$350, $P74, COLUMNS($Q$3:Q421)),"")</f>
        <v/>
      </c>
      <c r="R74" s="104"/>
      <c r="S74" t="s">
        <v>505</v>
      </c>
      <c r="T74" s="101">
        <v>330127</v>
      </c>
      <c r="U74" t="s">
        <v>512</v>
      </c>
      <c r="V74">
        <v>72</v>
      </c>
      <c r="W74">
        <f t="shared" si="6"/>
        <v>72</v>
      </c>
      <c r="X74">
        <f t="shared" si="7"/>
        <v>72</v>
      </c>
      <c r="Y74" s="108">
        <f>IFERROR(INDEX($T$3:U$352, $X74, COLUMNS($Y$3:Y74)), "")</f>
        <v>330127</v>
      </c>
      <c r="Z74" s="108" t="str">
        <f>IFERROR(INDEX($T$3:V$352, $X74, COLUMNS($Y$3:Z74)), "")</f>
        <v>Jacobi Medical Center (Bronx)</v>
      </c>
    </row>
    <row r="75" spans="11:26" x14ac:dyDescent="0.25">
      <c r="K75" s="104"/>
      <c r="L75" s="104" t="s">
        <v>388</v>
      </c>
      <c r="M75" s="104" t="s">
        <v>425</v>
      </c>
      <c r="N75" s="104">
        <v>73</v>
      </c>
      <c r="O75" s="104" t="str">
        <f t="shared" si="4"/>
        <v/>
      </c>
      <c r="P75" s="104" t="str">
        <f t="shared" si="5"/>
        <v/>
      </c>
      <c r="Q75" s="104" t="str">
        <f>IFERROR(INDEX($M$3:M$350, $P75, COLUMNS($Q$3:Q422)),"")</f>
        <v/>
      </c>
      <c r="R75" s="104"/>
      <c r="S75" t="s">
        <v>505</v>
      </c>
      <c r="T75" s="101">
        <v>330202</v>
      </c>
      <c r="U75" t="s">
        <v>513</v>
      </c>
      <c r="V75">
        <v>73</v>
      </c>
      <c r="W75">
        <f t="shared" si="6"/>
        <v>73</v>
      </c>
      <c r="X75">
        <f t="shared" si="7"/>
        <v>73</v>
      </c>
      <c r="Y75" s="108">
        <f>IFERROR(INDEX($T$3:U$352, $X75, COLUMNS($Y$3:Y75)), "")</f>
        <v>330202</v>
      </c>
      <c r="Z75" s="108" t="str">
        <f>IFERROR(INDEX($T$3:V$352, $X75, COLUMNS($Y$3:Z75)), "")</f>
        <v>Kings County Medical Center (Brooklyn)</v>
      </c>
    </row>
    <row r="76" spans="11:26" x14ac:dyDescent="0.25">
      <c r="K76" s="104"/>
      <c r="L76" s="104" t="s">
        <v>388</v>
      </c>
      <c r="M76" s="104" t="s">
        <v>538</v>
      </c>
      <c r="N76" s="104">
        <v>74</v>
      </c>
      <c r="O76" s="104" t="str">
        <f t="shared" si="4"/>
        <v/>
      </c>
      <c r="P76" s="104" t="str">
        <f t="shared" si="5"/>
        <v/>
      </c>
      <c r="Q76" s="104" t="str">
        <f>IFERROR(INDEX($M$3:M$350, $P76, COLUMNS($Q$3:Q423)),"")</f>
        <v/>
      </c>
      <c r="R76" s="104"/>
      <c r="S76" t="s">
        <v>505</v>
      </c>
      <c r="T76" s="101">
        <v>330080</v>
      </c>
      <c r="U76" t="s">
        <v>514</v>
      </c>
      <c r="V76">
        <v>74</v>
      </c>
      <c r="W76">
        <f t="shared" si="6"/>
        <v>74</v>
      </c>
      <c r="X76">
        <f t="shared" si="7"/>
        <v>74</v>
      </c>
      <c r="Y76" s="108">
        <f>IFERROR(INDEX($T$3:U$352, $X76, COLUMNS($Y$3:Y76)), "")</f>
        <v>330080</v>
      </c>
      <c r="Z76" s="108" t="str">
        <f>IFERROR(INDEX($T$3:V$352, $X76, COLUMNS($Y$3:Z76)), "")</f>
        <v>Lincoln Medical and Mental Health Center (Bronx)</v>
      </c>
    </row>
    <row r="77" spans="11:26" x14ac:dyDescent="0.25">
      <c r="K77" s="104"/>
      <c r="L77" s="104" t="s">
        <v>389</v>
      </c>
      <c r="M77" s="104" t="s">
        <v>492</v>
      </c>
      <c r="N77" s="104">
        <v>75</v>
      </c>
      <c r="O77" s="104" t="str">
        <f t="shared" si="4"/>
        <v/>
      </c>
      <c r="P77" s="104" t="str">
        <f t="shared" si="5"/>
        <v/>
      </c>
      <c r="Q77" s="104" t="str">
        <f>IFERROR(INDEX($M$3:M$350, $P77, COLUMNS($Q$3:Q424)),"")</f>
        <v/>
      </c>
      <c r="R77" s="104"/>
      <c r="S77" t="s">
        <v>505</v>
      </c>
      <c r="T77" s="101">
        <v>330199</v>
      </c>
      <c r="U77" t="s">
        <v>515</v>
      </c>
      <c r="V77">
        <v>75</v>
      </c>
      <c r="W77">
        <f t="shared" si="6"/>
        <v>75</v>
      </c>
      <c r="X77">
        <f t="shared" si="7"/>
        <v>75</v>
      </c>
      <c r="Y77" s="108">
        <f>IFERROR(INDEX($T$3:U$352, $X77, COLUMNS($Y$3:Y77)), "")</f>
        <v>330199</v>
      </c>
      <c r="Z77" s="108" t="str">
        <f>IFERROR(INDEX($T$3:V$352, $X77, COLUMNS($Y$3:Z77)), "")</f>
        <v>Metropolitan Hospital Center</v>
      </c>
    </row>
    <row r="78" spans="11:26" x14ac:dyDescent="0.25">
      <c r="K78" s="104"/>
      <c r="L78" s="104" t="s">
        <v>391</v>
      </c>
      <c r="M78" s="104" t="s">
        <v>450</v>
      </c>
      <c r="N78" s="104">
        <v>76</v>
      </c>
      <c r="O78" s="104" t="str">
        <f t="shared" si="4"/>
        <v/>
      </c>
      <c r="P78" s="104" t="str">
        <f t="shared" si="5"/>
        <v/>
      </c>
      <c r="Q78" s="104" t="str">
        <f>IFERROR(INDEX($M$3:M$350, $P78, COLUMNS($Q$3:Q425)),"")</f>
        <v/>
      </c>
      <c r="R78" s="104"/>
      <c r="S78" t="s">
        <v>505</v>
      </c>
      <c r="T78" s="101">
        <v>330385</v>
      </c>
      <c r="U78" t="s">
        <v>516</v>
      </c>
      <c r="V78">
        <v>76</v>
      </c>
      <c r="W78">
        <f t="shared" si="6"/>
        <v>76</v>
      </c>
      <c r="X78">
        <f t="shared" si="7"/>
        <v>76</v>
      </c>
      <c r="Y78" s="108">
        <f>IFERROR(INDEX($T$3:U$352, $X78, COLUMNS($Y$3:Y78)), "")</f>
        <v>330385</v>
      </c>
      <c r="Z78" s="108" t="str">
        <f>IFERROR(INDEX($T$3:V$352, $X78, COLUMNS($Y$3:Z78)), "")</f>
        <v>North Central Bronx Hospital (Bronx)</v>
      </c>
    </row>
    <row r="79" spans="11:26" x14ac:dyDescent="0.25">
      <c r="K79" s="104"/>
      <c r="L79" s="104" t="s">
        <v>391</v>
      </c>
      <c r="M79" s="104" t="s">
        <v>501</v>
      </c>
      <c r="N79" s="104">
        <v>77</v>
      </c>
      <c r="O79" s="104" t="str">
        <f t="shared" si="4"/>
        <v/>
      </c>
      <c r="P79" s="104" t="str">
        <f t="shared" si="5"/>
        <v/>
      </c>
      <c r="Q79" s="104" t="str">
        <f>IFERROR(INDEX($M$3:M$350, $P79, COLUMNS($Q$3:Q426)),"")</f>
        <v/>
      </c>
      <c r="R79" s="104"/>
      <c r="S79" t="s">
        <v>505</v>
      </c>
      <c r="T79" s="101">
        <v>330231</v>
      </c>
      <c r="U79" t="s">
        <v>517</v>
      </c>
      <c r="V79">
        <v>77</v>
      </c>
      <c r="W79">
        <f t="shared" si="6"/>
        <v>77</v>
      </c>
      <c r="X79">
        <f t="shared" si="7"/>
        <v>77</v>
      </c>
      <c r="Y79" s="108">
        <f>IFERROR(INDEX($T$3:U$352, $X79, COLUMNS($Y$3:Y79)), "")</f>
        <v>330231</v>
      </c>
      <c r="Z79" s="108" t="str">
        <f>IFERROR(INDEX($T$3:V$352, $X79, COLUMNS($Y$3:Z79)), "")</f>
        <v>Queens Hospital Center (Jamaica)</v>
      </c>
    </row>
    <row r="80" spans="11:26" x14ac:dyDescent="0.25">
      <c r="K80" s="104"/>
      <c r="L80" s="104" t="s">
        <v>391</v>
      </c>
      <c r="M80" s="104" t="s">
        <v>534</v>
      </c>
      <c r="N80" s="104">
        <v>78</v>
      </c>
      <c r="O80" s="104" t="str">
        <f t="shared" si="4"/>
        <v/>
      </c>
      <c r="P80" s="104" t="str">
        <f t="shared" si="5"/>
        <v/>
      </c>
      <c r="Q80" s="104" t="str">
        <f>IFERROR(INDEX($M$3:M$350, $P80, COLUMNS($Q$3:Q427)),"")</f>
        <v/>
      </c>
      <c r="R80" s="104"/>
      <c r="S80" t="s">
        <v>505</v>
      </c>
      <c r="T80" s="101">
        <v>330396</v>
      </c>
      <c r="U80" t="s">
        <v>518</v>
      </c>
      <c r="V80">
        <v>78</v>
      </c>
      <c r="W80">
        <f t="shared" si="6"/>
        <v>78</v>
      </c>
      <c r="X80">
        <f t="shared" si="7"/>
        <v>78</v>
      </c>
      <c r="Y80" s="108">
        <f>IFERROR(INDEX($T$3:U$352, $X80, COLUMNS($Y$3:Y80)), "")</f>
        <v>330396</v>
      </c>
      <c r="Z80" s="108" t="str">
        <f>IFERROR(INDEX($T$3:V$352, $X80, COLUMNS($Y$3:Z80)), "")</f>
        <v>Woodhull Medical and Mental Health Center (Brooklyn)</v>
      </c>
    </row>
    <row r="81" spans="11:26" x14ac:dyDescent="0.25">
      <c r="K81" s="104"/>
      <c r="L81" s="104" t="s">
        <v>392</v>
      </c>
      <c r="M81" s="104" t="s">
        <v>457</v>
      </c>
      <c r="N81" s="104">
        <v>79</v>
      </c>
      <c r="O81" s="104" t="str">
        <f t="shared" si="4"/>
        <v/>
      </c>
      <c r="P81" s="104" t="str">
        <f t="shared" si="5"/>
        <v/>
      </c>
      <c r="Q81" s="104" t="str">
        <f>IFERROR(INDEX($M$3:M$350, $P81, COLUMNS($Q$3:Q428)),"")</f>
        <v/>
      </c>
      <c r="R81" s="104"/>
      <c r="S81" t="s">
        <v>519</v>
      </c>
      <c r="T81" s="101">
        <v>140206</v>
      </c>
      <c r="U81" t="s">
        <v>520</v>
      </c>
      <c r="V81">
        <v>79</v>
      </c>
      <c r="W81">
        <f t="shared" si="6"/>
        <v>79</v>
      </c>
      <c r="X81">
        <f t="shared" si="7"/>
        <v>79</v>
      </c>
      <c r="Y81" s="108">
        <f>IFERROR(INDEX($T$3:U$352, $X81, COLUMNS($Y$3:Y81)), "")</f>
        <v>140206</v>
      </c>
      <c r="Z81" s="108" t="str">
        <f>IFERROR(INDEX($T$3:V$352, $X81, COLUMNS($Y$3:Z81)), "")</f>
        <v>Norwegian American Hospital (Chicago)</v>
      </c>
    </row>
    <row r="82" spans="11:26" x14ac:dyDescent="0.25">
      <c r="K82" s="104"/>
      <c r="L82" s="104" t="s">
        <v>392</v>
      </c>
      <c r="M82" s="104" t="s">
        <v>477</v>
      </c>
      <c r="N82" s="104">
        <v>80</v>
      </c>
      <c r="O82" s="104" t="str">
        <f t="shared" si="4"/>
        <v/>
      </c>
      <c r="P82" s="104" t="str">
        <f t="shared" si="5"/>
        <v/>
      </c>
      <c r="Q82" s="104" t="str">
        <f>IFERROR(INDEX($M$3:M$350, $P82, COLUMNS($Q$3:Q429)),"")</f>
        <v/>
      </c>
      <c r="R82" s="104"/>
      <c r="S82" t="s">
        <v>521</v>
      </c>
      <c r="T82" s="101">
        <v>330027</v>
      </c>
      <c r="U82" t="s">
        <v>522</v>
      </c>
      <c r="V82">
        <v>80</v>
      </c>
      <c r="W82">
        <f t="shared" si="6"/>
        <v>80</v>
      </c>
      <c r="X82">
        <f t="shared" si="7"/>
        <v>80</v>
      </c>
      <c r="Y82" s="108">
        <f>IFERROR(INDEX($T$3:U$352, $X82, COLUMNS($Y$3:Y82)), "")</f>
        <v>330027</v>
      </c>
      <c r="Z82" s="108" t="str">
        <f>IFERROR(INDEX($T$3:V$352, $X82, COLUMNS($Y$3:Z82)), "")</f>
        <v>NuHealth (East Meadow)</v>
      </c>
    </row>
    <row r="83" spans="11:26" x14ac:dyDescent="0.25">
      <c r="K83" s="104"/>
      <c r="L83" s="104" t="s">
        <v>392</v>
      </c>
      <c r="M83" s="104" t="s">
        <v>529</v>
      </c>
      <c r="N83" s="104">
        <v>81</v>
      </c>
      <c r="O83" s="104" t="str">
        <f t="shared" si="4"/>
        <v/>
      </c>
      <c r="P83" s="104" t="str">
        <f t="shared" si="5"/>
        <v/>
      </c>
      <c r="Q83" s="104" t="str">
        <f>IFERROR(INDEX($M$3:M$350, $P83, COLUMNS($Q$3:Q430)),"")</f>
        <v/>
      </c>
      <c r="R83" s="104"/>
      <c r="S83" t="s">
        <v>523</v>
      </c>
      <c r="T83" s="101">
        <v>370078</v>
      </c>
      <c r="U83" t="s">
        <v>524</v>
      </c>
      <c r="V83">
        <v>81</v>
      </c>
      <c r="W83">
        <f t="shared" si="6"/>
        <v>81</v>
      </c>
      <c r="X83">
        <f t="shared" si="7"/>
        <v>81</v>
      </c>
      <c r="Y83" s="108">
        <f>IFERROR(INDEX($T$3:U$352, $X83, COLUMNS($Y$3:Y83)), "")</f>
        <v>370078</v>
      </c>
      <c r="Z83" s="108" t="str">
        <f>IFERROR(INDEX($T$3:V$352, $X83, COLUMNS($Y$3:Z83)), "")</f>
        <v>Oklahoma State University Medical Center (Tulsa)</v>
      </c>
    </row>
    <row r="84" spans="11:26" x14ac:dyDescent="0.25">
      <c r="K84" s="104"/>
      <c r="L84" s="104" t="s">
        <v>392</v>
      </c>
      <c r="M84" s="104" t="s">
        <v>572</v>
      </c>
      <c r="N84" s="104">
        <v>82</v>
      </c>
      <c r="O84" s="104" t="str">
        <f t="shared" si="4"/>
        <v/>
      </c>
      <c r="P84" s="104" t="str">
        <f t="shared" si="5"/>
        <v/>
      </c>
      <c r="Q84" s="104" t="str">
        <f>IFERROR(INDEX($M$3:M$350, $P84, COLUMNS($Q$3:Q431)),"")</f>
        <v/>
      </c>
      <c r="R84" s="104"/>
      <c r="S84" t="s">
        <v>525</v>
      </c>
      <c r="T84" s="101">
        <v>100006</v>
      </c>
      <c r="U84" t="s">
        <v>526</v>
      </c>
      <c r="V84">
        <v>82</v>
      </c>
      <c r="W84">
        <f t="shared" si="6"/>
        <v>82</v>
      </c>
      <c r="X84">
        <f t="shared" si="7"/>
        <v>82</v>
      </c>
      <c r="Y84" s="108">
        <f>IFERROR(INDEX($T$3:U$352, $X84, COLUMNS($Y$3:Y84)), "")</f>
        <v>100006</v>
      </c>
      <c r="Z84" s="108" t="str">
        <f>IFERROR(INDEX($T$3:V$352, $X84, COLUMNS($Y$3:Z84)), "")</f>
        <v>Orlando Regional Medical Center (Orlando); Arnold Palmer Hospital for Children (Orlando); M.D. Anderson Cancer Center Orlando (Orlando), Dr. P. Phillips Hospital (Orlando); Lucerne Hospital (Orlando); South Seminole Hospital (Longwood); Winnie Palmer Hospital for Women and Babies (Orlando)</v>
      </c>
    </row>
    <row r="85" spans="11:26" x14ac:dyDescent="0.25">
      <c r="K85" s="104"/>
      <c r="L85" s="104" t="s">
        <v>392</v>
      </c>
      <c r="M85" s="104" t="s">
        <v>601</v>
      </c>
      <c r="N85" s="104">
        <v>83</v>
      </c>
      <c r="O85" s="104" t="str">
        <f t="shared" si="4"/>
        <v/>
      </c>
      <c r="P85" s="104" t="str">
        <f t="shared" si="5"/>
        <v/>
      </c>
      <c r="Q85" s="104" t="str">
        <f>IFERROR(INDEX($M$3:M$350, $P85, COLUMNS($Q$3:Q432)),"")</f>
        <v/>
      </c>
      <c r="R85" s="104"/>
      <c r="S85" t="s">
        <v>525</v>
      </c>
      <c r="T85" s="101">
        <v>100030</v>
      </c>
      <c r="U85" t="s">
        <v>527</v>
      </c>
      <c r="V85">
        <v>83</v>
      </c>
      <c r="W85">
        <f t="shared" si="6"/>
        <v>83</v>
      </c>
      <c r="X85">
        <f t="shared" si="7"/>
        <v>83</v>
      </c>
      <c r="Y85" s="108">
        <f>IFERROR(INDEX($T$3:U$352, $X85, COLUMNS($Y$3:Y85)), "")</f>
        <v>100030</v>
      </c>
      <c r="Z85" s="108" t="str">
        <f>IFERROR(INDEX($T$3:V$352, $X85, COLUMNS($Y$3:Z85)), "")</f>
        <v>Health Central Hospital (Ocoee)</v>
      </c>
    </row>
    <row r="86" spans="11:26" x14ac:dyDescent="0.25">
      <c r="K86" s="104"/>
      <c r="L86" s="104" t="s">
        <v>392</v>
      </c>
      <c r="M86" s="104" t="s">
        <v>589</v>
      </c>
      <c r="N86" s="104">
        <v>84</v>
      </c>
      <c r="O86" s="104" t="str">
        <f t="shared" si="4"/>
        <v/>
      </c>
      <c r="P86" s="104" t="str">
        <f t="shared" si="5"/>
        <v/>
      </c>
      <c r="Q86" s="104" t="str">
        <f>IFERROR(INDEX($M$3:M$350, $P86, COLUMNS($Q$3:Q433)),"")</f>
        <v/>
      </c>
      <c r="R86" s="104"/>
      <c r="S86" t="s">
        <v>525</v>
      </c>
      <c r="T86" s="101">
        <v>100051</v>
      </c>
      <c r="U86" t="s">
        <v>528</v>
      </c>
      <c r="V86">
        <v>84</v>
      </c>
      <c r="W86">
        <f t="shared" si="6"/>
        <v>84</v>
      </c>
      <c r="X86">
        <f t="shared" si="7"/>
        <v>84</v>
      </c>
      <c r="Y86" s="108">
        <f>IFERROR(INDEX($T$3:U$352, $X86, COLUMNS($Y$3:Y86)), "")</f>
        <v>100051</v>
      </c>
      <c r="Z86" s="108" t="str">
        <f>IFERROR(INDEX($T$3:V$352, $X86, COLUMNS($Y$3:Z86)), "")</f>
        <v>South Lake Hospital (Clermont)</v>
      </c>
    </row>
    <row r="87" spans="11:26" x14ac:dyDescent="0.25">
      <c r="K87" s="104"/>
      <c r="L87" s="104" t="s">
        <v>393</v>
      </c>
      <c r="M87" s="104" t="s">
        <v>637</v>
      </c>
      <c r="N87" s="104">
        <v>85</v>
      </c>
      <c r="O87" s="104" t="str">
        <f t="shared" si="4"/>
        <v/>
      </c>
      <c r="P87" s="104" t="str">
        <f t="shared" si="5"/>
        <v/>
      </c>
      <c r="Q87" s="104" t="str">
        <f>IFERROR(INDEX($M$3:M$350, $P87, COLUMNS($Q$3:Q434)),"")</f>
        <v/>
      </c>
      <c r="R87" s="104"/>
      <c r="S87" t="s">
        <v>529</v>
      </c>
      <c r="T87" s="101">
        <v>450015</v>
      </c>
      <c r="U87" t="s">
        <v>530</v>
      </c>
      <c r="V87">
        <v>85</v>
      </c>
      <c r="W87">
        <f t="shared" si="6"/>
        <v>85</v>
      </c>
      <c r="X87">
        <f t="shared" si="7"/>
        <v>85</v>
      </c>
      <c r="Y87" s="108">
        <f>IFERROR(INDEX($T$3:U$352, $X87, COLUMNS($Y$3:Y87)), "")</f>
        <v>450015</v>
      </c>
      <c r="Z87" s="108" t="str">
        <f>IFERROR(INDEX($T$3:V$352, $X87, COLUMNS($Y$3:Z87)), "")</f>
        <v>Parkland Health &amp; Hospital System (Dallas)</v>
      </c>
    </row>
    <row r="88" spans="11:26" x14ac:dyDescent="0.25">
      <c r="K88" s="104"/>
      <c r="L88" s="104" t="s">
        <v>395</v>
      </c>
      <c r="M88" s="104" t="s">
        <v>591</v>
      </c>
      <c r="N88" s="104">
        <v>86</v>
      </c>
      <c r="O88" s="104" t="str">
        <f t="shared" si="4"/>
        <v/>
      </c>
      <c r="P88" s="104" t="str">
        <f t="shared" si="5"/>
        <v/>
      </c>
      <c r="Q88" s="104" t="str">
        <f>IFERROR(INDEX($M$3:M$350, $P88, COLUMNS($Q$3:Q435)),"")</f>
        <v/>
      </c>
      <c r="R88" s="104"/>
      <c r="S88" t="s">
        <v>531</v>
      </c>
      <c r="T88" s="101">
        <v>140174</v>
      </c>
      <c r="U88" t="s">
        <v>532</v>
      </c>
      <c r="V88">
        <v>86</v>
      </c>
      <c r="W88">
        <f t="shared" si="6"/>
        <v>86</v>
      </c>
      <c r="X88">
        <f t="shared" si="7"/>
        <v>86</v>
      </c>
      <c r="Y88" s="108">
        <f>IFERROR(INDEX($T$3:U$352, $X88, COLUMNS($Y$3:Y88)), "")</f>
        <v>140174</v>
      </c>
      <c r="Z88" s="108" t="str">
        <f>IFERROR(INDEX($T$3:V$352, $X88, COLUMNS($Y$3:Z88)), "")</f>
        <v>Presence Mercy Medical Center (Aurora)</v>
      </c>
    </row>
    <row r="89" spans="11:26" x14ac:dyDescent="0.25">
      <c r="K89" s="104"/>
      <c r="L89" s="104" t="s">
        <v>395</v>
      </c>
      <c r="M89" s="104" t="s">
        <v>641</v>
      </c>
      <c r="N89" s="104">
        <v>87</v>
      </c>
      <c r="O89" s="104" t="str">
        <f t="shared" si="4"/>
        <v/>
      </c>
      <c r="P89" s="104" t="str">
        <f t="shared" si="5"/>
        <v/>
      </c>
      <c r="Q89" s="104" t="str">
        <f>IFERROR(INDEX($M$3:M$350, $P89, COLUMNS($Q$3:Q436)),"")</f>
        <v/>
      </c>
      <c r="R89" s="104"/>
      <c r="S89" t="s">
        <v>531</v>
      </c>
      <c r="T89" s="101">
        <v>140180</v>
      </c>
      <c r="U89" t="s">
        <v>533</v>
      </c>
      <c r="V89">
        <v>87</v>
      </c>
      <c r="W89">
        <f t="shared" si="6"/>
        <v>87</v>
      </c>
      <c r="X89">
        <f t="shared" si="7"/>
        <v>87</v>
      </c>
      <c r="Y89" s="108">
        <f>IFERROR(INDEX($T$3:U$352, $X89, COLUMNS($Y$3:Y89)), "")</f>
        <v>140180</v>
      </c>
      <c r="Z89" s="108" t="str">
        <f>IFERROR(INDEX($T$3:V$352, $X89, COLUMNS($Y$3:Z89)), "")</f>
        <v>Presence Saints Mary and Elizabeth Medical Center - St. Mary Campus (Chicago); Presence Saints Mary and Elizabeth Medical Center - St. Elizabeth Campus (Chicago)</v>
      </c>
    </row>
    <row r="90" spans="11:26" x14ac:dyDescent="0.25">
      <c r="K90" s="104"/>
      <c r="L90" s="104" t="s">
        <v>396</v>
      </c>
      <c r="M90" s="104" t="s">
        <v>594</v>
      </c>
      <c r="N90" s="104">
        <v>88</v>
      </c>
      <c r="O90" s="104" t="str">
        <f t="shared" si="4"/>
        <v/>
      </c>
      <c r="P90" s="104" t="str">
        <f t="shared" si="5"/>
        <v/>
      </c>
      <c r="Q90" s="104" t="str">
        <f>IFERROR(INDEX($M$3:M$350, $P90, COLUMNS($Q$3:Q437)),"")</f>
        <v/>
      </c>
      <c r="R90" s="104"/>
      <c r="S90" t="s">
        <v>534</v>
      </c>
      <c r="T90" s="101">
        <v>440152</v>
      </c>
      <c r="U90" t="s">
        <v>535</v>
      </c>
      <c r="V90">
        <v>88</v>
      </c>
      <c r="W90">
        <f t="shared" si="6"/>
        <v>88</v>
      </c>
      <c r="X90">
        <f t="shared" si="7"/>
        <v>88</v>
      </c>
      <c r="Y90" s="108">
        <f>IFERROR(INDEX($T$3:U$352, $X90, COLUMNS($Y$3:Y90)), "")</f>
        <v>440152</v>
      </c>
      <c r="Z90" s="108" t="str">
        <f>IFERROR(INDEX($T$3:V$352, $X90, COLUMNS($Y$3:Z90)), "")</f>
        <v>Region One Health (Memphis)</v>
      </c>
    </row>
    <row r="91" spans="11:26" x14ac:dyDescent="0.25">
      <c r="K91" s="104"/>
      <c r="L91" s="104" t="s">
        <v>397</v>
      </c>
      <c r="M91" s="104" t="s">
        <v>644</v>
      </c>
      <c r="N91" s="104">
        <v>89</v>
      </c>
      <c r="O91" s="104" t="str">
        <f t="shared" si="4"/>
        <v/>
      </c>
      <c r="P91" s="104" t="str">
        <f t="shared" si="5"/>
        <v/>
      </c>
      <c r="Q91" s="104" t="str">
        <f>IFERROR(INDEX($M$3:M$350, $P91, COLUMNS($Q$3:Q438)),"")</f>
        <v/>
      </c>
      <c r="R91" s="104"/>
      <c r="S91" t="s">
        <v>536</v>
      </c>
      <c r="T91" s="101">
        <v>240106</v>
      </c>
      <c r="U91" t="s">
        <v>537</v>
      </c>
      <c r="V91">
        <v>89</v>
      </c>
      <c r="W91">
        <f t="shared" si="6"/>
        <v>89</v>
      </c>
      <c r="X91">
        <f t="shared" si="7"/>
        <v>89</v>
      </c>
      <c r="Y91" s="108">
        <f>IFERROR(INDEX($T$3:U$352, $X91, COLUMNS($Y$3:Y91)), "")</f>
        <v>240106</v>
      </c>
      <c r="Z91" s="108" t="str">
        <f>IFERROR(INDEX($T$3:V$352, $X91, COLUMNS($Y$3:Z91)), "")</f>
        <v>Regions Hospital (Saint Paul)</v>
      </c>
    </row>
    <row r="92" spans="11:26" x14ac:dyDescent="0.25">
      <c r="K92" s="104"/>
      <c r="L92" s="104"/>
      <c r="M92" s="104"/>
      <c r="N92" s="104">
        <v>90</v>
      </c>
      <c r="O92" s="104" t="str">
        <f t="shared" si="4"/>
        <v/>
      </c>
      <c r="P92" s="104" t="str">
        <f t="shared" si="5"/>
        <v/>
      </c>
      <c r="Q92" s="104" t="str">
        <f>IFERROR(INDEX($M$3:M$350, $P92, COLUMNS($Q$3:Q439)),"")</f>
        <v/>
      </c>
      <c r="R92" s="104"/>
      <c r="S92" t="s">
        <v>538</v>
      </c>
      <c r="T92" s="101">
        <v>410007</v>
      </c>
      <c r="U92" t="s">
        <v>539</v>
      </c>
      <c r="V92">
        <v>90</v>
      </c>
      <c r="W92">
        <f t="shared" si="6"/>
        <v>90</v>
      </c>
      <c r="X92">
        <f t="shared" si="7"/>
        <v>90</v>
      </c>
      <c r="Y92" s="108">
        <f>IFERROR(INDEX($T$3:U$352, $X92, COLUMNS($Y$3:Y92)), "")</f>
        <v>410007</v>
      </c>
      <c r="Z92" s="108" t="str">
        <f>IFERROR(INDEX($T$3:V$352, $X92, COLUMNS($Y$3:Z92)), "")</f>
        <v>Rhode Island Hospital (Providence); Hasbro Children's Hospital (Providence)</v>
      </c>
    </row>
    <row r="93" spans="11:26" x14ac:dyDescent="0.25">
      <c r="K93" s="104"/>
      <c r="L93" s="104"/>
      <c r="M93" s="104"/>
      <c r="N93" s="104">
        <v>91</v>
      </c>
      <c r="O93" s="104" t="str">
        <f t="shared" si="4"/>
        <v/>
      </c>
      <c r="P93" s="104" t="str">
        <f t="shared" si="5"/>
        <v/>
      </c>
      <c r="Q93" s="104" t="str">
        <f>IFERROR(INDEX($M$3:M$350, $P93, COLUMNS($Q$3:Q440)),"")</f>
        <v/>
      </c>
      <c r="R93" s="104"/>
      <c r="S93" t="s">
        <v>540</v>
      </c>
      <c r="T93" s="101">
        <v>50292</v>
      </c>
      <c r="U93" t="s">
        <v>541</v>
      </c>
      <c r="V93">
        <v>91</v>
      </c>
      <c r="W93">
        <f t="shared" si="6"/>
        <v>91</v>
      </c>
      <c r="X93">
        <f t="shared" si="7"/>
        <v>91</v>
      </c>
      <c r="Y93" s="108">
        <f>IFERROR(INDEX($T$3:U$352, $X93, COLUMNS($Y$3:Y93)), "")</f>
        <v>50292</v>
      </c>
      <c r="Z93" s="108" t="str">
        <f>IFERROR(INDEX($T$3:V$352, $X93, COLUMNS($Y$3:Z93)), "")</f>
        <v>Riversity University Medical Center (Moreno Valley)</v>
      </c>
    </row>
    <row r="94" spans="11:26" x14ac:dyDescent="0.25">
      <c r="K94" s="104"/>
      <c r="L94" s="104"/>
      <c r="M94" s="104"/>
      <c r="N94" s="104">
        <v>92</v>
      </c>
      <c r="O94" s="104" t="str">
        <f t="shared" si="4"/>
        <v/>
      </c>
      <c r="P94" s="104" t="str">
        <f t="shared" si="5"/>
        <v/>
      </c>
      <c r="Q94" s="104" t="str">
        <f>IFERROR(INDEX($M$3:M$350, $P94, COLUMNS($Q$3:Q441)),"")</f>
        <v/>
      </c>
      <c r="R94" s="104"/>
      <c r="S94" t="s">
        <v>542</v>
      </c>
      <c r="T94" s="101">
        <v>330393</v>
      </c>
      <c r="U94" t="s">
        <v>543</v>
      </c>
      <c r="V94">
        <v>92</v>
      </c>
      <c r="W94">
        <f t="shared" si="6"/>
        <v>92</v>
      </c>
      <c r="X94">
        <f t="shared" si="7"/>
        <v>92</v>
      </c>
      <c r="Y94" s="108">
        <f>IFERROR(INDEX($T$3:U$352, $X94, COLUMNS($Y$3:Y94)), "")</f>
        <v>330393</v>
      </c>
      <c r="Z94" s="108" t="str">
        <f>IFERROR(INDEX($T$3:V$352, $X94, COLUMNS($Y$3:Z94)), "")</f>
        <v>Stony Brook University Medical Center (Stony Brook)</v>
      </c>
    </row>
    <row r="95" spans="11:26" x14ac:dyDescent="0.25">
      <c r="K95" s="104"/>
      <c r="L95" s="104"/>
      <c r="M95" s="104"/>
      <c r="N95" s="104">
        <v>93</v>
      </c>
      <c r="O95" s="104" t="str">
        <f t="shared" si="4"/>
        <v/>
      </c>
      <c r="P95" s="104" t="str">
        <f t="shared" si="5"/>
        <v/>
      </c>
      <c r="Q95" s="104" t="str">
        <f>IFERROR(INDEX($M$3:M$350, $P95, COLUMNS($Q$3:Q442)),"")</f>
        <v/>
      </c>
      <c r="R95" s="104"/>
      <c r="S95" t="s">
        <v>542</v>
      </c>
      <c r="T95" s="101">
        <v>330241</v>
      </c>
      <c r="U95" t="s">
        <v>544</v>
      </c>
      <c r="V95">
        <v>93</v>
      </c>
      <c r="W95">
        <f t="shared" si="6"/>
        <v>93</v>
      </c>
      <c r="X95">
        <f t="shared" si="7"/>
        <v>93</v>
      </c>
      <c r="Y95" s="108">
        <f>IFERROR(INDEX($T$3:U$352, $X95, COLUMNS($Y$3:Y95)), "")</f>
        <v>330241</v>
      </c>
      <c r="Z95" s="108" t="str">
        <f>IFERROR(INDEX($T$3:V$352, $X95, COLUMNS($Y$3:Z95)), "")</f>
        <v>Upstate Medical University (Syracuse); Upstate Gulisano Children's Hospital (Syracuse); Upstate University Hospital - Community Campus (Syracuse)</v>
      </c>
    </row>
    <row r="96" spans="11:26" x14ac:dyDescent="0.25">
      <c r="K96" s="104"/>
      <c r="L96" s="104"/>
      <c r="M96" s="104"/>
      <c r="N96" s="104">
        <v>94</v>
      </c>
      <c r="O96" s="104" t="str">
        <f t="shared" si="4"/>
        <v/>
      </c>
      <c r="P96" s="104" t="str">
        <f t="shared" si="5"/>
        <v/>
      </c>
      <c r="Q96" s="104" t="str">
        <f>IFERROR(INDEX($M$3:M$350, $P96, COLUMNS($Q$3:Q443)),"")</f>
        <v/>
      </c>
      <c r="R96" s="104"/>
      <c r="S96" t="s">
        <v>542</v>
      </c>
      <c r="T96" s="101">
        <v>330350</v>
      </c>
      <c r="U96" t="s">
        <v>545</v>
      </c>
      <c r="V96">
        <v>94</v>
      </c>
      <c r="W96">
        <f t="shared" si="6"/>
        <v>94</v>
      </c>
      <c r="X96">
        <f t="shared" si="7"/>
        <v>94</v>
      </c>
      <c r="Y96" s="108">
        <f>IFERROR(INDEX($T$3:U$352, $X96, COLUMNS($Y$3:Y96)), "")</f>
        <v>330350</v>
      </c>
      <c r="Z96" s="108" t="str">
        <f>IFERROR(INDEX($T$3:V$352, $X96, COLUMNS($Y$3:Z96)), "")</f>
        <v>Downstate Medical University (Brooklyn)</v>
      </c>
    </row>
    <row r="97" spans="11:26" x14ac:dyDescent="0.25">
      <c r="K97" s="104"/>
      <c r="L97" s="104"/>
      <c r="M97" s="104"/>
      <c r="N97" s="104">
        <v>95</v>
      </c>
      <c r="O97" s="104" t="str">
        <f t="shared" si="4"/>
        <v/>
      </c>
      <c r="P97" s="104" t="str">
        <f t="shared" si="5"/>
        <v/>
      </c>
      <c r="Q97" s="104" t="str">
        <f>IFERROR(INDEX($M$3:M$350, $P97, COLUMNS($Q$3:Q444)),"")</f>
        <v/>
      </c>
      <c r="R97" s="104"/>
      <c r="S97" t="s">
        <v>546</v>
      </c>
      <c r="T97" s="101">
        <v>50167</v>
      </c>
      <c r="U97" t="s">
        <v>547</v>
      </c>
      <c r="V97">
        <v>95</v>
      </c>
      <c r="W97">
        <f t="shared" si="6"/>
        <v>95</v>
      </c>
      <c r="X97">
        <f t="shared" si="7"/>
        <v>95</v>
      </c>
      <c r="Y97" s="108">
        <f>IFERROR(INDEX($T$3:U$352, $X97, COLUMNS($Y$3:Y97)), "")</f>
        <v>50167</v>
      </c>
      <c r="Z97" s="108" t="str">
        <f>IFERROR(INDEX($T$3:V$352, $X97, COLUMNS($Y$3:Z97)), "")</f>
        <v>San Joaquin General Hospital (French Camp)</v>
      </c>
    </row>
    <row r="98" spans="11:26" x14ac:dyDescent="0.25">
      <c r="K98" s="104"/>
      <c r="L98" s="104"/>
      <c r="M98" s="104"/>
      <c r="N98" s="104">
        <v>96</v>
      </c>
      <c r="O98" s="104" t="str">
        <f t="shared" si="4"/>
        <v/>
      </c>
      <c r="P98" s="104" t="str">
        <f t="shared" si="5"/>
        <v/>
      </c>
      <c r="Q98" s="104" t="str">
        <f>IFERROR(INDEX($M$3:M$350, $P98, COLUMNS($Q$3:Q445)),"")</f>
        <v/>
      </c>
      <c r="R98" s="104"/>
      <c r="S98" t="s">
        <v>548</v>
      </c>
      <c r="T98" s="101">
        <v>50113</v>
      </c>
      <c r="U98" t="s">
        <v>549</v>
      </c>
      <c r="V98">
        <v>96</v>
      </c>
      <c r="W98">
        <f t="shared" si="6"/>
        <v>96</v>
      </c>
      <c r="X98">
        <f t="shared" si="7"/>
        <v>96</v>
      </c>
      <c r="Y98" s="108">
        <f>IFERROR(INDEX($T$3:U$352, $X98, COLUMNS($Y$3:Y98)), "")</f>
        <v>50113</v>
      </c>
      <c r="Z98" s="108" t="str">
        <f>IFERROR(INDEX($T$3:V$352, $X98, COLUMNS($Y$3:Z98)), "")</f>
        <v>San Mateo Medical Center (San Mateo)</v>
      </c>
    </row>
    <row r="99" spans="11:26" x14ac:dyDescent="0.25">
      <c r="K99" s="104"/>
      <c r="L99" s="104"/>
      <c r="M99" s="104"/>
      <c r="N99" s="104">
        <v>97</v>
      </c>
      <c r="O99" s="104" t="str">
        <f t="shared" si="4"/>
        <v/>
      </c>
      <c r="P99" s="104" t="str">
        <f t="shared" si="5"/>
        <v/>
      </c>
      <c r="Q99" s="104" t="str">
        <f>IFERROR(INDEX($M$3:M$350, $P99, COLUMNS($Q$3:Q446)),"")</f>
        <v/>
      </c>
      <c r="R99" s="104"/>
      <c r="S99" t="s">
        <v>550</v>
      </c>
      <c r="T99" s="101">
        <v>50038</v>
      </c>
      <c r="U99" t="s">
        <v>551</v>
      </c>
      <c r="V99">
        <v>97</v>
      </c>
      <c r="W99">
        <f t="shared" si="6"/>
        <v>97</v>
      </c>
      <c r="X99">
        <f t="shared" si="7"/>
        <v>97</v>
      </c>
      <c r="Y99" s="108">
        <f>IFERROR(INDEX($T$3:U$352, $X99, COLUMNS($Y$3:Y99)), "")</f>
        <v>50038</v>
      </c>
      <c r="Z99" s="108" t="str">
        <f>IFERROR(INDEX($T$3:V$352, $X99, COLUMNS($Y$3:Z99)), "")</f>
        <v>Santa Clara Valley Medical Center (San Jose)</v>
      </c>
    </row>
    <row r="100" spans="11:26" x14ac:dyDescent="0.25">
      <c r="K100" s="104"/>
      <c r="L100" s="104"/>
      <c r="M100" s="104"/>
      <c r="N100" s="104">
        <v>98</v>
      </c>
      <c r="O100" s="104" t="str">
        <f t="shared" si="4"/>
        <v/>
      </c>
      <c r="P100" s="104" t="str">
        <f t="shared" si="5"/>
        <v/>
      </c>
      <c r="Q100" s="104" t="str">
        <f>IFERROR(INDEX($M$3:M$350, $P100, COLUMNS($Q$3:Q447)),"")</f>
        <v/>
      </c>
      <c r="R100" s="104"/>
      <c r="S100" t="s">
        <v>552</v>
      </c>
      <c r="T100" s="101">
        <v>130006</v>
      </c>
      <c r="U100" t="s">
        <v>553</v>
      </c>
      <c r="V100">
        <v>98</v>
      </c>
      <c r="W100">
        <f t="shared" si="6"/>
        <v>98</v>
      </c>
      <c r="X100">
        <f t="shared" si="7"/>
        <v>98</v>
      </c>
      <c r="Y100" s="108">
        <f>IFERROR(INDEX($T$3:U$352, $X100, COLUMNS($Y$3:Y100)), "")</f>
        <v>130006</v>
      </c>
      <c r="Z100" s="108" t="str">
        <f>IFERROR(INDEX($T$3:V$352, $X100, COLUMNS($Y$3:Z100)), "")</f>
        <v>St. Luke's Regional Medical Center (Boise); St. Luke's Meridian Medical Center (Meridian); St. Luke's Childrens Hospital (Boise)</v>
      </c>
    </row>
    <row r="101" spans="11:26" x14ac:dyDescent="0.25">
      <c r="K101" s="104"/>
      <c r="L101" s="104"/>
      <c r="M101" s="104"/>
      <c r="N101" s="104">
        <v>99</v>
      </c>
      <c r="O101" s="104" t="str">
        <f t="shared" si="4"/>
        <v/>
      </c>
      <c r="P101" s="104" t="str">
        <f t="shared" si="5"/>
        <v/>
      </c>
      <c r="Q101" s="104" t="str">
        <f>IFERROR(INDEX($M$3:M$350, $P101, COLUMNS($Q$3:Q448)),"")</f>
        <v/>
      </c>
      <c r="R101" s="104"/>
      <c r="S101" t="s">
        <v>552</v>
      </c>
      <c r="T101" s="101">
        <v>131311</v>
      </c>
      <c r="U101" t="s">
        <v>554</v>
      </c>
      <c r="V101">
        <v>99</v>
      </c>
      <c r="W101">
        <f t="shared" si="6"/>
        <v>99</v>
      </c>
      <c r="X101">
        <f t="shared" si="7"/>
        <v>99</v>
      </c>
      <c r="Y101" s="108">
        <f>IFERROR(INDEX($T$3:U$352, $X101, COLUMNS($Y$3:Y101)), "")</f>
        <v>131311</v>
      </c>
      <c r="Z101" s="108" t="str">
        <f>IFERROR(INDEX($T$3:V$352, $X101, COLUMNS($Y$3:Z101)), "")</f>
        <v>St. Luke's Elmore Medical Center (Mountain Home)</v>
      </c>
    </row>
    <row r="102" spans="11:26" x14ac:dyDescent="0.25">
      <c r="K102" s="104"/>
      <c r="L102" s="104"/>
      <c r="M102" s="104"/>
      <c r="N102" s="104">
        <v>100</v>
      </c>
      <c r="O102" s="104" t="str">
        <f t="shared" si="4"/>
        <v/>
      </c>
      <c r="P102" s="104" t="str">
        <f t="shared" si="5"/>
        <v/>
      </c>
      <c r="Q102" s="104" t="str">
        <f>IFERROR(INDEX($M$3:M$350, $P102, COLUMNS($Q$3:Q449)),"")</f>
        <v/>
      </c>
      <c r="R102" s="104"/>
      <c r="S102" t="s">
        <v>552</v>
      </c>
      <c r="T102" s="101">
        <v>131310</v>
      </c>
      <c r="U102" t="s">
        <v>555</v>
      </c>
      <c r="V102">
        <v>100</v>
      </c>
      <c r="W102">
        <f t="shared" si="6"/>
        <v>100</v>
      </c>
      <c r="X102">
        <f t="shared" si="7"/>
        <v>100</v>
      </c>
      <c r="Y102" s="108">
        <f>IFERROR(INDEX($T$3:U$352, $X102, COLUMNS($Y$3:Y102)), "")</f>
        <v>131310</v>
      </c>
      <c r="Z102" s="108" t="str">
        <f>IFERROR(INDEX($T$3:V$352, $X102, COLUMNS($Y$3:Z102)), "")</f>
        <v>St. Luke's Jerome (Jerome)</v>
      </c>
    </row>
    <row r="103" spans="11:26" x14ac:dyDescent="0.25">
      <c r="K103" s="104"/>
      <c r="L103" s="104"/>
      <c r="M103" s="104"/>
      <c r="N103" s="104">
        <v>101</v>
      </c>
      <c r="O103" s="104" t="str">
        <f t="shared" si="4"/>
        <v/>
      </c>
      <c r="P103" s="104" t="str">
        <f t="shared" si="5"/>
        <v/>
      </c>
      <c r="Q103" s="104" t="str">
        <f>IFERROR(INDEX($M$3:M$350, $P103, COLUMNS($Q$3:Q450)),"")</f>
        <v/>
      </c>
      <c r="R103" s="104"/>
      <c r="S103" t="s">
        <v>552</v>
      </c>
      <c r="T103" s="101">
        <v>130002</v>
      </c>
      <c r="U103" t="s">
        <v>556</v>
      </c>
      <c r="V103">
        <v>101</v>
      </c>
      <c r="W103">
        <f t="shared" si="6"/>
        <v>101</v>
      </c>
      <c r="X103">
        <f t="shared" si="7"/>
        <v>101</v>
      </c>
      <c r="Y103" s="108">
        <f>IFERROR(INDEX($T$3:U$352, $X103, COLUMNS($Y$3:Y103)), "")</f>
        <v>130002</v>
      </c>
      <c r="Z103" s="108" t="str">
        <f>IFERROR(INDEX($T$3:V$352, $X103, COLUMNS($Y$3:Z103)), "")</f>
        <v>St. Luke's Magic Valley Medical Center (Twin Falls)</v>
      </c>
    </row>
    <row r="104" spans="11:26" x14ac:dyDescent="0.25">
      <c r="K104" s="104"/>
      <c r="L104" s="104"/>
      <c r="M104" s="104"/>
      <c r="N104" s="104">
        <v>102</v>
      </c>
      <c r="O104" s="104" t="str">
        <f t="shared" si="4"/>
        <v/>
      </c>
      <c r="P104" s="104" t="str">
        <f t="shared" si="5"/>
        <v/>
      </c>
      <c r="Q104" s="104" t="str">
        <f>IFERROR(INDEX($M$3:M$350, $P104, COLUMNS($Q$3:Q451)),"")</f>
        <v/>
      </c>
      <c r="R104" s="104"/>
      <c r="S104" t="s">
        <v>552</v>
      </c>
      <c r="T104" s="101">
        <v>131323</v>
      </c>
      <c r="U104" t="s">
        <v>557</v>
      </c>
      <c r="V104">
        <v>102</v>
      </c>
      <c r="W104">
        <f t="shared" si="6"/>
        <v>102</v>
      </c>
      <c r="X104">
        <f t="shared" si="7"/>
        <v>102</v>
      </c>
      <c r="Y104" s="108">
        <f>IFERROR(INDEX($T$3:U$352, $X104, COLUMNS($Y$3:Y104)), "")</f>
        <v>131323</v>
      </c>
      <c r="Z104" s="108" t="str">
        <f>IFERROR(INDEX($T$3:V$352, $X104, COLUMNS($Y$3:Z104)), "")</f>
        <v>St. Luke's Wood River Medical Center (Ketchum)</v>
      </c>
    </row>
    <row r="105" spans="11:26" x14ac:dyDescent="0.25">
      <c r="K105" s="104"/>
      <c r="L105" s="104"/>
      <c r="M105" s="104"/>
      <c r="N105" s="104">
        <v>103</v>
      </c>
      <c r="O105" s="104" t="str">
        <f t="shared" si="4"/>
        <v/>
      </c>
      <c r="P105" s="104" t="str">
        <f t="shared" si="5"/>
        <v/>
      </c>
      <c r="Q105" s="104" t="str">
        <f>IFERROR(INDEX($M$3:M$350, $P105, COLUMNS($Q$3:Q452)),"")</f>
        <v/>
      </c>
      <c r="R105" s="104"/>
      <c r="S105" t="s">
        <v>552</v>
      </c>
      <c r="T105" s="101">
        <v>131312</v>
      </c>
      <c r="U105" t="s">
        <v>558</v>
      </c>
      <c r="V105">
        <v>103</v>
      </c>
      <c r="W105">
        <f t="shared" si="6"/>
        <v>103</v>
      </c>
      <c r="X105">
        <f t="shared" si="7"/>
        <v>103</v>
      </c>
      <c r="Y105" s="108">
        <f>IFERROR(INDEX($T$3:U$352, $X105, COLUMNS($Y$3:Y105)), "")</f>
        <v>131312</v>
      </c>
      <c r="Z105" s="108" t="str">
        <f>IFERROR(INDEX($T$3:V$352, $X105, COLUMNS($Y$3:Z105)), "")</f>
        <v>St. Luke's McCall Medical Center (McCall)</v>
      </c>
    </row>
    <row r="106" spans="11:26" x14ac:dyDescent="0.25">
      <c r="K106" s="104"/>
      <c r="L106" s="104"/>
      <c r="M106" s="104"/>
      <c r="N106" s="104">
        <v>104</v>
      </c>
      <c r="O106" s="104" t="str">
        <f t="shared" si="4"/>
        <v/>
      </c>
      <c r="P106" s="104" t="str">
        <f t="shared" si="5"/>
        <v/>
      </c>
      <c r="Q106" s="104" t="str">
        <f>IFERROR(INDEX($M$3:M$350, $P106, COLUMNS($Q$3:Q453)),"")</f>
        <v/>
      </c>
      <c r="R106" s="104"/>
      <c r="S106" t="s">
        <v>559</v>
      </c>
      <c r="T106" s="101">
        <v>140114</v>
      </c>
      <c r="U106" t="s">
        <v>560</v>
      </c>
      <c r="V106">
        <v>104</v>
      </c>
      <c r="W106">
        <f t="shared" si="6"/>
        <v>104</v>
      </c>
      <c r="X106">
        <f t="shared" si="7"/>
        <v>104</v>
      </c>
      <c r="Y106" s="108">
        <f>IFERROR(INDEX($T$3:U$352, $X106, COLUMNS($Y$3:Y106)), "")</f>
        <v>140114</v>
      </c>
      <c r="Z106" s="108" t="str">
        <f>IFERROR(INDEX($T$3:V$352, $X106, COLUMNS($Y$3:Z106)), "")</f>
        <v>Swedish Covenant Hospital (Chicago)</v>
      </c>
    </row>
    <row r="107" spans="11:26" x14ac:dyDescent="0.25">
      <c r="K107" s="104"/>
      <c r="L107" s="104"/>
      <c r="M107" s="104"/>
      <c r="N107" s="104">
        <v>105</v>
      </c>
      <c r="O107" s="104" t="str">
        <f t="shared" si="4"/>
        <v/>
      </c>
      <c r="P107" s="104" t="str">
        <f t="shared" si="5"/>
        <v/>
      </c>
      <c r="Q107" s="104" t="str">
        <f>IFERROR(INDEX($M$3:M$350, $P107, COLUMNS($Q$3:Q454)),"")</f>
        <v/>
      </c>
      <c r="R107" s="104"/>
      <c r="S107" t="s">
        <v>561</v>
      </c>
      <c r="T107" s="101">
        <v>100128</v>
      </c>
      <c r="U107" t="s">
        <v>562</v>
      </c>
      <c r="V107">
        <v>105</v>
      </c>
      <c r="W107">
        <f t="shared" si="6"/>
        <v>105</v>
      </c>
      <c r="X107">
        <f t="shared" si="7"/>
        <v>105</v>
      </c>
      <c r="Y107" s="108">
        <f>IFERROR(INDEX($T$3:U$352, $X107, COLUMNS($Y$3:Y107)), "")</f>
        <v>100128</v>
      </c>
      <c r="Z107" s="108" t="str">
        <f>IFERROR(INDEX($T$3:V$352, $X107, COLUMNS($Y$3:Z107)), "")</f>
        <v>Tampa General Hospital (Tampa)</v>
      </c>
    </row>
    <row r="108" spans="11:26" x14ac:dyDescent="0.25">
      <c r="K108" s="104"/>
      <c r="L108" s="104"/>
      <c r="M108" s="104"/>
      <c r="N108" s="104">
        <v>106</v>
      </c>
      <c r="O108" s="104" t="str">
        <f t="shared" si="4"/>
        <v/>
      </c>
      <c r="P108" s="104" t="str">
        <f t="shared" si="5"/>
        <v/>
      </c>
      <c r="Q108" s="104" t="str">
        <f>IFERROR(INDEX($M$3:M$350, $P108, COLUMNS($Q$3:Q455)),"")</f>
        <v/>
      </c>
      <c r="R108" s="104"/>
      <c r="S108" t="s">
        <v>563</v>
      </c>
      <c r="T108" s="101">
        <v>390027</v>
      </c>
      <c r="U108" t="s">
        <v>564</v>
      </c>
      <c r="V108">
        <v>106</v>
      </c>
      <c r="W108">
        <f t="shared" si="6"/>
        <v>106</v>
      </c>
      <c r="X108">
        <f t="shared" si="7"/>
        <v>106</v>
      </c>
      <c r="Y108" s="108">
        <f>IFERROR(INDEX($T$3:U$352, $X108, COLUMNS($Y$3:Y108)), "")</f>
        <v>390027</v>
      </c>
      <c r="Z108" s="108" t="str">
        <f>IFERROR(INDEX($T$3:V$352, $X108, COLUMNS($Y$3:Z108)), "")</f>
        <v>Temple University Hospital (Philadelphia);  Episcopal Hospital (Philadelphia)</v>
      </c>
    </row>
    <row r="109" spans="11:26" x14ac:dyDescent="0.25">
      <c r="K109" s="104"/>
      <c r="L109" s="104"/>
      <c r="M109" s="104"/>
      <c r="N109" s="104">
        <v>107</v>
      </c>
      <c r="O109" s="104" t="str">
        <f t="shared" si="4"/>
        <v/>
      </c>
      <c r="P109" s="104" t="str">
        <f t="shared" si="5"/>
        <v/>
      </c>
      <c r="Q109" s="104" t="str">
        <f>IFERROR(INDEX($M$3:M$350, $P109, COLUMNS($Q$3:Q456)),"")</f>
        <v/>
      </c>
      <c r="R109" s="104"/>
      <c r="S109" t="s">
        <v>563</v>
      </c>
      <c r="T109" s="101">
        <v>390080</v>
      </c>
      <c r="U109" t="s">
        <v>565</v>
      </c>
      <c r="V109">
        <v>107</v>
      </c>
      <c r="W109">
        <f t="shared" si="6"/>
        <v>107</v>
      </c>
      <c r="X109">
        <f t="shared" si="7"/>
        <v>107</v>
      </c>
      <c r="Y109" s="108">
        <f>IFERROR(INDEX($T$3:U$352, $X109, COLUMNS($Y$3:Y109)), "")</f>
        <v>390080</v>
      </c>
      <c r="Z109" s="108" t="str">
        <f>IFERROR(INDEX($T$3:V$352, $X109, COLUMNS($Y$3:Z109)), "")</f>
        <v>Jeanes Hospital (Philadelphia)</v>
      </c>
    </row>
    <row r="110" spans="11:26" x14ac:dyDescent="0.25">
      <c r="K110" s="104"/>
      <c r="L110" s="104"/>
      <c r="M110" s="104"/>
      <c r="N110" s="104">
        <v>108</v>
      </c>
      <c r="O110" s="104" t="str">
        <f t="shared" si="4"/>
        <v/>
      </c>
      <c r="P110" s="104" t="str">
        <f t="shared" si="5"/>
        <v/>
      </c>
      <c r="Q110" s="104" t="str">
        <f>IFERROR(INDEX($M$3:M$350, $P110, COLUMNS($Q$3:Q457)),"")</f>
        <v/>
      </c>
      <c r="R110" s="104"/>
      <c r="S110" t="s">
        <v>566</v>
      </c>
      <c r="T110" s="101">
        <v>360059</v>
      </c>
      <c r="U110" t="s">
        <v>567</v>
      </c>
      <c r="V110">
        <v>108</v>
      </c>
      <c r="W110">
        <f t="shared" si="6"/>
        <v>108</v>
      </c>
      <c r="X110">
        <f t="shared" si="7"/>
        <v>108</v>
      </c>
      <c r="Y110" s="108">
        <f>IFERROR(INDEX($T$3:U$352, $X110, COLUMNS($Y$3:Y110)), "")</f>
        <v>360059</v>
      </c>
      <c r="Z110" s="108" t="str">
        <f>IFERROR(INDEX($T$3:V$352, $X110, COLUMNS($Y$3:Z110)), "")</f>
        <v>MetroHealth Medical Center (Cleveland)</v>
      </c>
    </row>
    <row r="111" spans="11:26" x14ac:dyDescent="0.25">
      <c r="K111" s="104"/>
      <c r="L111" s="104"/>
      <c r="M111" s="104"/>
      <c r="N111" s="104">
        <v>109</v>
      </c>
      <c r="O111" s="104" t="str">
        <f t="shared" si="4"/>
        <v/>
      </c>
      <c r="P111" s="104" t="str">
        <f t="shared" si="5"/>
        <v/>
      </c>
      <c r="Q111" s="104" t="str">
        <f>IFERROR(INDEX($M$3:M$350, $P111, COLUMNS($Q$3:Q458)),"")</f>
        <v/>
      </c>
      <c r="R111" s="104"/>
      <c r="S111" t="s">
        <v>568</v>
      </c>
      <c r="T111" s="101">
        <v>360085</v>
      </c>
      <c r="U111" t="s">
        <v>569</v>
      </c>
      <c r="V111">
        <v>109</v>
      </c>
      <c r="W111">
        <f t="shared" si="6"/>
        <v>109</v>
      </c>
      <c r="X111">
        <f t="shared" si="7"/>
        <v>109</v>
      </c>
      <c r="Y111" s="108">
        <f>IFERROR(INDEX($T$3:U$352, $X111, COLUMNS($Y$3:Y111)), "")</f>
        <v>360085</v>
      </c>
      <c r="Z111" s="108" t="str">
        <f>IFERROR(INDEX($T$3:V$352, $X111, COLUMNS($Y$3:Z111)), "")</f>
        <v>The Ohio State University Wexner Medical Center (Columbus); Richard M. Ross Heart Hospital (Columbus); Ohio State University Harding Hospital (Columbus); Ohio State University Hospital East (Columbus)</v>
      </c>
    </row>
    <row r="112" spans="11:26" x14ac:dyDescent="0.25">
      <c r="K112" s="104"/>
      <c r="L112" s="104"/>
      <c r="M112" s="104"/>
      <c r="N112" s="104">
        <v>110</v>
      </c>
      <c r="O112" s="104" t="str">
        <f t="shared" si="4"/>
        <v/>
      </c>
      <c r="P112" s="104" t="str">
        <f t="shared" si="5"/>
        <v/>
      </c>
      <c r="Q112" s="104" t="str">
        <f>IFERROR(INDEX($M$3:M$350, $P112, COLUMNS($Q$3:Q459)),"")</f>
        <v/>
      </c>
      <c r="R112" s="104"/>
      <c r="S112" t="s">
        <v>570</v>
      </c>
      <c r="T112" s="101">
        <v>170040</v>
      </c>
      <c r="U112" t="s">
        <v>571</v>
      </c>
      <c r="V112">
        <v>110</v>
      </c>
      <c r="W112">
        <f t="shared" si="6"/>
        <v>110</v>
      </c>
      <c r="X112">
        <f t="shared" si="7"/>
        <v>110</v>
      </c>
      <c r="Y112" s="108">
        <f>IFERROR(INDEX($T$3:U$352, $X112, COLUMNS($Y$3:Y112)), "")</f>
        <v>170040</v>
      </c>
      <c r="Z112" s="108" t="str">
        <f>IFERROR(INDEX($T$3:V$352, $X112, COLUMNS($Y$3:Z112)), "")</f>
        <v>The University of Kansas Hospital (Kansas City)</v>
      </c>
    </row>
    <row r="113" spans="11:26" x14ac:dyDescent="0.25">
      <c r="K113" s="104"/>
      <c r="L113" s="104"/>
      <c r="M113" s="104"/>
      <c r="N113" s="104">
        <v>111</v>
      </c>
      <c r="O113" s="104" t="str">
        <f t="shared" si="4"/>
        <v/>
      </c>
      <c r="P113" s="104" t="str">
        <f t="shared" si="5"/>
        <v/>
      </c>
      <c r="Q113" s="104" t="str">
        <f>IFERROR(INDEX($M$3:M$350, $P113, COLUMNS($Q$3:Q460)),"")</f>
        <v/>
      </c>
      <c r="R113" s="104"/>
      <c r="S113" t="s">
        <v>572</v>
      </c>
      <c r="T113" s="101">
        <v>450018</v>
      </c>
      <c r="U113" t="s">
        <v>573</v>
      </c>
      <c r="V113">
        <v>111</v>
      </c>
      <c r="W113">
        <f t="shared" si="6"/>
        <v>111</v>
      </c>
      <c r="X113">
        <f t="shared" si="7"/>
        <v>111</v>
      </c>
      <c r="Y113" s="108">
        <f>IFERROR(INDEX($T$3:U$352, $X113, COLUMNS($Y$3:Y113)), "")</f>
        <v>450018</v>
      </c>
      <c r="Z113" s="108" t="str">
        <f>IFERROR(INDEX($T$3:V$352, $X113, COLUMNS($Y$3:Z113)), "")</f>
        <v>The University of Texas Medical Brance (Galveston); Children's Hospital (Galveston); Joh Sealy Hospital (Galveston)</v>
      </c>
    </row>
    <row r="114" spans="11:26" x14ac:dyDescent="0.25">
      <c r="K114" s="104"/>
      <c r="L114" s="104"/>
      <c r="M114" s="104"/>
      <c r="N114" s="104">
        <v>112</v>
      </c>
      <c r="O114" s="104" t="str">
        <f t="shared" si="4"/>
        <v/>
      </c>
      <c r="P114" s="104" t="str">
        <f t="shared" si="5"/>
        <v/>
      </c>
      <c r="Q114" s="104" t="str">
        <f>IFERROR(INDEX($M$3:M$350, $P114, COLUMNS($Q$3:Q461)),"")</f>
        <v/>
      </c>
      <c r="R114" s="104"/>
      <c r="S114" t="s">
        <v>574</v>
      </c>
      <c r="T114" s="101">
        <v>260048</v>
      </c>
      <c r="U114" t="s">
        <v>575</v>
      </c>
      <c r="V114">
        <v>112</v>
      </c>
      <c r="W114">
        <f t="shared" si="6"/>
        <v>112</v>
      </c>
      <c r="X114">
        <f t="shared" si="7"/>
        <v>112</v>
      </c>
      <c r="Y114" s="108">
        <f>IFERROR(INDEX($T$3:U$352, $X114, COLUMNS($Y$3:Y114)), "")</f>
        <v>260048</v>
      </c>
      <c r="Z114" s="108" t="str">
        <f>IFERROR(INDEX($T$3:V$352, $X114, COLUMNS($Y$3:Z114)), "")</f>
        <v>Truman Medical Center Hospital Hill (Kansas City)</v>
      </c>
    </row>
    <row r="115" spans="11:26" x14ac:dyDescent="0.25">
      <c r="K115" s="104"/>
      <c r="L115" s="104"/>
      <c r="M115" s="104"/>
      <c r="N115" s="104">
        <v>113</v>
      </c>
      <c r="O115" s="104" t="str">
        <f t="shared" si="4"/>
        <v/>
      </c>
      <c r="P115" s="104" t="str">
        <f t="shared" si="5"/>
        <v/>
      </c>
      <c r="Q115" s="104" t="str">
        <f>IFERROR(INDEX($M$3:M$350, $P115, COLUMNS($Q$3:Q462)),"")</f>
        <v/>
      </c>
      <c r="R115" s="104"/>
      <c r="S115" t="s">
        <v>574</v>
      </c>
      <c r="T115" s="101">
        <v>260102</v>
      </c>
      <c r="U115" t="s">
        <v>576</v>
      </c>
      <c r="V115">
        <v>113</v>
      </c>
      <c r="W115">
        <f t="shared" si="6"/>
        <v>113</v>
      </c>
      <c r="X115">
        <f t="shared" si="7"/>
        <v>113</v>
      </c>
      <c r="Y115" s="108">
        <f>IFERROR(INDEX($T$3:U$352, $X115, COLUMNS($Y$3:Y115)), "")</f>
        <v>260102</v>
      </c>
      <c r="Z115" s="108" t="str">
        <f>IFERROR(INDEX($T$3:V$352, $X115, COLUMNS($Y$3:Z115)), "")</f>
        <v>Truman Medical Center Lakewood</v>
      </c>
    </row>
    <row r="116" spans="11:26" x14ac:dyDescent="0.25">
      <c r="K116" s="104"/>
      <c r="L116" s="104"/>
      <c r="M116" s="104"/>
      <c r="N116" s="104">
        <v>114</v>
      </c>
      <c r="O116" s="104" t="str">
        <f t="shared" si="4"/>
        <v/>
      </c>
      <c r="P116" s="104" t="str">
        <f t="shared" si="5"/>
        <v/>
      </c>
      <c r="Q116" s="104" t="str">
        <f>IFERROR(INDEX($M$3:M$350, $P116, COLUMNS($Q$3:Q463)),"")</f>
        <v/>
      </c>
      <c r="R116" s="104"/>
      <c r="S116" t="s">
        <v>577</v>
      </c>
      <c r="T116" s="101">
        <v>360003</v>
      </c>
      <c r="U116" t="s">
        <v>578</v>
      </c>
      <c r="V116">
        <v>114</v>
      </c>
      <c r="W116">
        <f t="shared" si="6"/>
        <v>114</v>
      </c>
      <c r="X116">
        <f t="shared" si="7"/>
        <v>114</v>
      </c>
      <c r="Y116" s="108">
        <f>IFERROR(INDEX($T$3:U$352, $X116, COLUMNS($Y$3:Y116)), "")</f>
        <v>360003</v>
      </c>
      <c r="Z116" s="108" t="str">
        <f>IFERROR(INDEX($T$3:V$352, $X116, COLUMNS($Y$3:Z116)), "")</f>
        <v>University of Cincinnati Medical Center (Cincinnati)</v>
      </c>
    </row>
    <row r="117" spans="11:26" x14ac:dyDescent="0.25">
      <c r="K117" s="104"/>
      <c r="L117" s="104"/>
      <c r="M117" s="104"/>
      <c r="N117" s="104">
        <v>115</v>
      </c>
      <c r="O117" s="104" t="str">
        <f t="shared" si="4"/>
        <v/>
      </c>
      <c r="P117" s="104" t="str">
        <f t="shared" si="5"/>
        <v/>
      </c>
      <c r="Q117" s="104" t="str">
        <f>IFERROR(INDEX($M$3:M$350, $P117, COLUMNS($Q$3:Q464)),"")</f>
        <v/>
      </c>
      <c r="R117" s="104"/>
      <c r="S117" t="s">
        <v>579</v>
      </c>
      <c r="T117" s="101">
        <v>180067</v>
      </c>
      <c r="U117" t="s">
        <v>580</v>
      </c>
      <c r="V117">
        <v>115</v>
      </c>
      <c r="W117">
        <f t="shared" si="6"/>
        <v>115</v>
      </c>
      <c r="X117">
        <f t="shared" si="7"/>
        <v>115</v>
      </c>
      <c r="Y117" s="108">
        <f>IFERROR(INDEX($T$3:U$352, $X117, COLUMNS($Y$3:Y117)), "")</f>
        <v>180067</v>
      </c>
      <c r="Z117" s="108" t="str">
        <f>IFERROR(INDEX($T$3:V$352, $X117, COLUMNS($Y$3:Z117)), "")</f>
        <v>UK Albert B. Chandler Hospital (Lexington); UK Good Samaritan Hospital (Lexington); Kentucky Children's Hospital (Lexington)</v>
      </c>
    </row>
    <row r="118" spans="11:26" x14ac:dyDescent="0.25">
      <c r="K118" s="104"/>
      <c r="L118" s="104"/>
      <c r="M118" s="104"/>
      <c r="N118" s="104">
        <v>116</v>
      </c>
      <c r="O118" s="104" t="str">
        <f t="shared" si="4"/>
        <v/>
      </c>
      <c r="P118" s="104" t="str">
        <f t="shared" si="5"/>
        <v/>
      </c>
      <c r="Q118" s="104" t="str">
        <f>IFERROR(INDEX($M$3:M$350, $P118, COLUMNS($Q$3:Q465)),"")</f>
        <v/>
      </c>
      <c r="R118" s="104"/>
      <c r="S118" t="s">
        <v>581</v>
      </c>
      <c r="T118" s="101">
        <v>220163</v>
      </c>
      <c r="U118" t="s">
        <v>582</v>
      </c>
      <c r="V118">
        <v>116</v>
      </c>
      <c r="W118">
        <f t="shared" si="6"/>
        <v>116</v>
      </c>
      <c r="X118">
        <f t="shared" si="7"/>
        <v>116</v>
      </c>
      <c r="Y118" s="108">
        <f>IFERROR(INDEX($T$3:U$352, $X118, COLUMNS($Y$3:Y118)), "")</f>
        <v>220163</v>
      </c>
      <c r="Z118" s="108" t="str">
        <f>IFERROR(INDEX($T$3:V$352, $X118, COLUMNS($Y$3:Z118)), "")</f>
        <v>UMass Memorial Medical Center - University Campus (Worcester); UMass Memorial Medical Center - Hahnemann Campus (Worcester); UMass Memorial Medical Center - Memorial Campus (Worcester)</v>
      </c>
    </row>
    <row r="119" spans="11:26" x14ac:dyDescent="0.25">
      <c r="K119" s="104"/>
      <c r="L119" s="104"/>
      <c r="M119" s="104"/>
      <c r="N119" s="104">
        <v>117</v>
      </c>
      <c r="O119" s="104" t="str">
        <f t="shared" si="4"/>
        <v/>
      </c>
      <c r="P119" s="104" t="str">
        <f t="shared" si="5"/>
        <v/>
      </c>
      <c r="Q119" s="104" t="str">
        <f>IFERROR(INDEX($M$3:M$350, $P119, COLUMNS($Q$3:Q466)),"")</f>
        <v/>
      </c>
      <c r="R119" s="104"/>
      <c r="S119" t="s">
        <v>581</v>
      </c>
      <c r="T119" s="101">
        <v>220058</v>
      </c>
      <c r="U119" t="s">
        <v>583</v>
      </c>
      <c r="V119">
        <v>117</v>
      </c>
      <c r="W119">
        <f t="shared" si="6"/>
        <v>117</v>
      </c>
      <c r="X119">
        <f t="shared" si="7"/>
        <v>117</v>
      </c>
      <c r="Y119" s="108">
        <f>IFERROR(INDEX($T$3:U$352, $X119, COLUMNS($Y$3:Y119)), "")</f>
        <v>220058</v>
      </c>
      <c r="Z119" s="108" t="str">
        <f>IFERROR(INDEX($T$3:V$352, $X119, COLUMNS($Y$3:Z119)), "")</f>
        <v>Clinton Hospital (Clinton)</v>
      </c>
    </row>
    <row r="120" spans="11:26" x14ac:dyDescent="0.25">
      <c r="K120" s="104"/>
      <c r="L120" s="104"/>
      <c r="M120" s="104"/>
      <c r="N120" s="104">
        <v>118</v>
      </c>
      <c r="O120" s="104" t="str">
        <f t="shared" si="4"/>
        <v/>
      </c>
      <c r="P120" s="104" t="str">
        <f t="shared" si="5"/>
        <v/>
      </c>
      <c r="Q120" s="104" t="str">
        <f>IFERROR(INDEX($M$3:M$350, $P120, COLUMNS($Q$3:Q467)),"")</f>
        <v/>
      </c>
      <c r="R120" s="104"/>
      <c r="S120" t="s">
        <v>581</v>
      </c>
      <c r="T120" s="101">
        <v>220001</v>
      </c>
      <c r="U120" t="s">
        <v>584</v>
      </c>
      <c r="V120">
        <v>118</v>
      </c>
      <c r="W120">
        <f t="shared" si="6"/>
        <v>118</v>
      </c>
      <c r="X120">
        <f t="shared" si="7"/>
        <v>118</v>
      </c>
      <c r="Y120" s="108">
        <f>IFERROR(INDEX($T$3:U$352, $X120, COLUMNS($Y$3:Y120)), "")</f>
        <v>220001</v>
      </c>
      <c r="Z120" s="108" t="str">
        <f>IFERROR(INDEX($T$3:V$352, $X120, COLUMNS($Y$3:Z120)), "")</f>
        <v>HealthAlliance Hospital - Burbank Campus (Fitchburg); HealthAlliance Hospital - Leominster Campus (Leominster)</v>
      </c>
    </row>
    <row r="121" spans="11:26" x14ac:dyDescent="0.25">
      <c r="K121" s="104"/>
      <c r="L121" s="104"/>
      <c r="M121" s="104"/>
      <c r="N121" s="104">
        <v>119</v>
      </c>
      <c r="O121" s="104" t="str">
        <f t="shared" si="4"/>
        <v/>
      </c>
      <c r="P121" s="104" t="str">
        <f t="shared" si="5"/>
        <v/>
      </c>
      <c r="Q121" s="104" t="str">
        <f>IFERROR(INDEX($M$3:M$350, $P121, COLUMNS($Q$3:Q468)),"")</f>
        <v/>
      </c>
      <c r="R121" s="104"/>
      <c r="S121" t="s">
        <v>581</v>
      </c>
      <c r="T121" s="101">
        <v>220049</v>
      </c>
      <c r="U121" t="s">
        <v>585</v>
      </c>
      <c r="V121">
        <v>119</v>
      </c>
      <c r="W121">
        <f t="shared" si="6"/>
        <v>119</v>
      </c>
      <c r="X121">
        <f t="shared" si="7"/>
        <v>119</v>
      </c>
      <c r="Y121" s="108">
        <f>IFERROR(INDEX($T$3:U$352, $X121, COLUMNS($Y$3:Y121)), "")</f>
        <v>220049</v>
      </c>
      <c r="Z121" s="108" t="str">
        <f>IFERROR(INDEX($T$3:V$352, $X121, COLUMNS($Y$3:Z121)), "")</f>
        <v>Marlborough Hospital (Marlborough)</v>
      </c>
    </row>
    <row r="122" spans="11:26" x14ac:dyDescent="0.25">
      <c r="K122" s="104"/>
      <c r="L122" s="104"/>
      <c r="M122" s="104"/>
      <c r="N122" s="104">
        <v>120</v>
      </c>
      <c r="O122" s="104" t="str">
        <f t="shared" si="4"/>
        <v/>
      </c>
      <c r="P122" s="104" t="str">
        <f t="shared" si="5"/>
        <v/>
      </c>
      <c r="Q122" s="104" t="str">
        <f>IFERROR(INDEX($M$3:M$350, $P122, COLUMNS($Q$3:Q469)),"")</f>
        <v/>
      </c>
      <c r="R122" s="104"/>
      <c r="S122" t="s">
        <v>586</v>
      </c>
      <c r="T122" s="101">
        <v>320089</v>
      </c>
      <c r="U122" t="s">
        <v>587</v>
      </c>
      <c r="V122">
        <v>120</v>
      </c>
      <c r="W122">
        <f t="shared" si="6"/>
        <v>120</v>
      </c>
      <c r="X122">
        <f t="shared" si="7"/>
        <v>120</v>
      </c>
      <c r="Y122" s="108">
        <f>IFERROR(INDEX($T$3:U$352, $X122, COLUMNS($Y$3:Y122)), "")</f>
        <v>320089</v>
      </c>
      <c r="Z122" s="108" t="str">
        <f>IFERROR(INDEX($T$3:V$352, $X122, COLUMNS($Y$3:Z122)), "")</f>
        <v>UNM Sandoval Regional Medical Center (Rio Rancho)</v>
      </c>
    </row>
    <row r="123" spans="11:26" x14ac:dyDescent="0.25">
      <c r="K123" s="104"/>
      <c r="L123" s="104"/>
      <c r="M123" s="104"/>
      <c r="N123" s="104">
        <v>121</v>
      </c>
      <c r="O123" s="104" t="str">
        <f t="shared" si="4"/>
        <v/>
      </c>
      <c r="P123" s="104" t="str">
        <f t="shared" si="5"/>
        <v/>
      </c>
      <c r="Q123" s="104" t="str">
        <f>IFERROR(INDEX($M$3:M$350, $P123, COLUMNS($Q$3:Q470)),"")</f>
        <v/>
      </c>
      <c r="R123" s="104"/>
      <c r="S123" t="s">
        <v>586</v>
      </c>
      <c r="T123" s="101">
        <v>320001</v>
      </c>
      <c r="U123" t="s">
        <v>588</v>
      </c>
      <c r="V123">
        <v>121</v>
      </c>
      <c r="W123">
        <f t="shared" si="6"/>
        <v>121</v>
      </c>
      <c r="X123">
        <f t="shared" si="7"/>
        <v>121</v>
      </c>
      <c r="Y123" s="108">
        <f>IFERROR(INDEX($T$3:U$352, $X123, COLUMNS($Y$3:Y123)), "")</f>
        <v>320001</v>
      </c>
      <c r="Z123" s="108" t="str">
        <f>IFERROR(INDEX($T$3:V$352, $X123, COLUMNS($Y$3:Z123)), "")</f>
        <v>UNM Hospital (Albuquerque); UNM Carrie Tingley Hospital (Albuquerque); UNM Children's Hospital (Albuquerque); UNM Children's Psychiatric Center (Albuquerque); UNM Psychiatric Center (Albuquerque)</v>
      </c>
    </row>
    <row r="124" spans="11:26" x14ac:dyDescent="0.25">
      <c r="K124" s="104"/>
      <c r="L124" s="104"/>
      <c r="M124" s="104"/>
      <c r="N124" s="104">
        <v>122</v>
      </c>
      <c r="O124" s="104" t="str">
        <f t="shared" si="4"/>
        <v/>
      </c>
      <c r="P124" s="104" t="str">
        <f t="shared" si="5"/>
        <v/>
      </c>
      <c r="Q124" s="104" t="str">
        <f>IFERROR(INDEX($M$3:M$350, $P124, COLUMNS($Q$3:Q471)),"")</f>
        <v/>
      </c>
      <c r="R124" s="104"/>
      <c r="S124" t="s">
        <v>589</v>
      </c>
      <c r="T124" s="101">
        <v>450690</v>
      </c>
      <c r="U124" t="s">
        <v>590</v>
      </c>
      <c r="V124">
        <v>122</v>
      </c>
      <c r="W124">
        <f t="shared" si="6"/>
        <v>122</v>
      </c>
      <c r="X124">
        <f t="shared" si="7"/>
        <v>122</v>
      </c>
      <c r="Y124" s="108">
        <f>IFERROR(INDEX($T$3:U$352, $X124, COLUMNS($Y$3:Y124)), "")</f>
        <v>450690</v>
      </c>
      <c r="Z124" s="108" t="str">
        <f>IFERROR(INDEX($T$3:V$352, $X124, COLUMNS($Y$3:Z124)), "")</f>
        <v>UT Health Northeast (Tyler)</v>
      </c>
    </row>
    <row r="125" spans="11:26" x14ac:dyDescent="0.25">
      <c r="K125" s="104"/>
      <c r="L125" s="104"/>
      <c r="M125" s="104"/>
      <c r="N125" s="104">
        <v>123</v>
      </c>
      <c r="O125" s="104" t="str">
        <f t="shared" si="4"/>
        <v/>
      </c>
      <c r="P125" s="104" t="str">
        <f t="shared" si="5"/>
        <v/>
      </c>
      <c r="Q125" s="104" t="str">
        <f>IFERROR(INDEX($M$3:M$350, $P125, COLUMNS($Q$3:Q472)),"")</f>
        <v/>
      </c>
      <c r="R125" s="104"/>
      <c r="S125" t="s">
        <v>591</v>
      </c>
      <c r="T125" s="101">
        <v>490009</v>
      </c>
      <c r="U125" t="s">
        <v>592</v>
      </c>
      <c r="V125">
        <v>123</v>
      </c>
      <c r="W125">
        <f t="shared" si="6"/>
        <v>123</v>
      </c>
      <c r="X125">
        <f t="shared" si="7"/>
        <v>123</v>
      </c>
      <c r="Y125" s="108">
        <f>IFERROR(INDEX($T$3:U$352, $X125, COLUMNS($Y$3:Y125)), "")</f>
        <v>490009</v>
      </c>
      <c r="Z125" s="108" t="str">
        <f>IFERROR(INDEX($T$3:V$352, $X125, COLUMNS($Y$3:Z125)), "")</f>
        <v>UVA Medical Center (Charlottesville)</v>
      </c>
    </row>
    <row r="126" spans="11:26" x14ac:dyDescent="0.25">
      <c r="K126" s="104"/>
      <c r="L126" s="104"/>
      <c r="M126" s="104"/>
      <c r="N126" s="104">
        <v>124</v>
      </c>
      <c r="O126" s="104" t="str">
        <f t="shared" si="4"/>
        <v/>
      </c>
      <c r="P126" s="104" t="str">
        <f t="shared" si="5"/>
        <v/>
      </c>
      <c r="Q126" s="104" t="str">
        <f>IFERROR(INDEX($M$3:M$350, $P126, COLUMNS($Q$3:Q473)),"")</f>
        <v/>
      </c>
      <c r="R126" s="104"/>
      <c r="S126" t="s">
        <v>591</v>
      </c>
      <c r="T126" s="101">
        <v>490019</v>
      </c>
      <c r="U126" t="s">
        <v>593</v>
      </c>
      <c r="V126">
        <v>124</v>
      </c>
      <c r="W126">
        <f t="shared" si="6"/>
        <v>124</v>
      </c>
      <c r="X126">
        <f t="shared" si="7"/>
        <v>124</v>
      </c>
      <c r="Y126" s="108">
        <f>IFERROR(INDEX($T$3:U$352, $X126, COLUMNS($Y$3:Y126)), "")</f>
        <v>490019</v>
      </c>
      <c r="Z126" s="108" t="str">
        <f>IFERROR(INDEX($T$3:V$352, $X126, COLUMNS($Y$3:Z126)), "")</f>
        <v>UVA Culpeper Hospital (Culpeper)</v>
      </c>
    </row>
    <row r="127" spans="11:26" x14ac:dyDescent="0.25">
      <c r="K127" s="104"/>
      <c r="L127" s="104"/>
      <c r="M127" s="104"/>
      <c r="N127" s="104">
        <v>125</v>
      </c>
      <c r="O127" s="104" t="str">
        <f t="shared" si="4"/>
        <v/>
      </c>
      <c r="P127" s="104" t="str">
        <f t="shared" si="5"/>
        <v/>
      </c>
      <c r="Q127" s="104" t="str">
        <f>IFERROR(INDEX($M$3:M$350, $P127, COLUMNS($Q$3:Q474)),"")</f>
        <v/>
      </c>
      <c r="R127" s="104"/>
      <c r="S127" t="s">
        <v>594</v>
      </c>
      <c r="T127" s="101">
        <v>500064</v>
      </c>
      <c r="U127" t="s">
        <v>595</v>
      </c>
      <c r="V127">
        <v>125</v>
      </c>
      <c r="W127">
        <f t="shared" si="6"/>
        <v>125</v>
      </c>
      <c r="X127">
        <f t="shared" si="7"/>
        <v>125</v>
      </c>
      <c r="Y127" s="108">
        <f>IFERROR(INDEX($T$3:U$352, $X127, COLUMNS($Y$3:Y127)), "")</f>
        <v>500064</v>
      </c>
      <c r="Z127" s="108" t="str">
        <f>IFERROR(INDEX($T$3:V$352, $X127, COLUMNS($Y$3:Z127)), "")</f>
        <v>Harborview Medical Center (Seattle)</v>
      </c>
    </row>
    <row r="128" spans="11:26" x14ac:dyDescent="0.25">
      <c r="K128" s="104"/>
      <c r="L128" s="104"/>
      <c r="M128" s="104"/>
      <c r="N128" s="104">
        <v>126</v>
      </c>
      <c r="O128" s="104" t="str">
        <f t="shared" si="4"/>
        <v/>
      </c>
      <c r="P128" s="104" t="str">
        <f t="shared" si="5"/>
        <v/>
      </c>
      <c r="Q128" s="104" t="str">
        <f>IFERROR(INDEX($M$3:M$350, $P128, COLUMNS($Q$3:Q475)),"")</f>
        <v/>
      </c>
      <c r="R128" s="104"/>
      <c r="S128" t="s">
        <v>594</v>
      </c>
      <c r="T128" s="101">
        <v>500001</v>
      </c>
      <c r="U128" t="s">
        <v>596</v>
      </c>
      <c r="V128">
        <v>126</v>
      </c>
      <c r="W128">
        <f t="shared" si="6"/>
        <v>126</v>
      </c>
      <c r="X128">
        <f t="shared" si="7"/>
        <v>126</v>
      </c>
      <c r="Y128" s="108">
        <f>IFERROR(INDEX($T$3:U$352, $X128, COLUMNS($Y$3:Y128)), "")</f>
        <v>500001</v>
      </c>
      <c r="Z128" s="108" t="str">
        <f>IFERROR(INDEX($T$3:V$352, $X128, COLUMNS($Y$3:Z128)), "")</f>
        <v>Norhtwest Hospital &amp; Medical Center (Seattle)</v>
      </c>
    </row>
    <row r="129" spans="11:26" x14ac:dyDescent="0.25">
      <c r="K129" s="104"/>
      <c r="L129" s="104"/>
      <c r="M129" s="104"/>
      <c r="N129" s="104">
        <v>127</v>
      </c>
      <c r="O129" s="104" t="str">
        <f t="shared" si="4"/>
        <v/>
      </c>
      <c r="P129" s="104" t="str">
        <f t="shared" si="5"/>
        <v/>
      </c>
      <c r="Q129" s="104" t="str">
        <f>IFERROR(INDEX($M$3:M$350, $P129, COLUMNS($Q$3:Q476)),"")</f>
        <v/>
      </c>
      <c r="R129" s="104"/>
      <c r="S129" t="s">
        <v>594</v>
      </c>
      <c r="T129" s="101">
        <v>500008</v>
      </c>
      <c r="U129" t="s">
        <v>597</v>
      </c>
      <c r="V129">
        <v>127</v>
      </c>
      <c r="W129">
        <f t="shared" si="6"/>
        <v>127</v>
      </c>
      <c r="X129">
        <f t="shared" si="7"/>
        <v>127</v>
      </c>
      <c r="Y129" s="108">
        <f>IFERROR(INDEX($T$3:U$352, $X129, COLUMNS($Y$3:Y129)), "")</f>
        <v>500008</v>
      </c>
      <c r="Z129" s="108" t="str">
        <f>IFERROR(INDEX($T$3:V$352, $X129, COLUMNS($Y$3:Z129)), "")</f>
        <v>UW Medical Center (Seattle)</v>
      </c>
    </row>
    <row r="130" spans="11:26" x14ac:dyDescent="0.25">
      <c r="K130" s="104"/>
      <c r="L130" s="104"/>
      <c r="M130" s="104"/>
      <c r="N130" s="104">
        <v>128</v>
      </c>
      <c r="O130" s="104" t="str">
        <f t="shared" si="4"/>
        <v/>
      </c>
      <c r="P130" s="104" t="str">
        <f t="shared" si="5"/>
        <v/>
      </c>
      <c r="Q130" s="104" t="str">
        <f>IFERROR(INDEX($M$3:M$350, $P130, COLUMNS($Q$3:Q477)),"")</f>
        <v/>
      </c>
      <c r="R130" s="104"/>
      <c r="S130" t="s">
        <v>594</v>
      </c>
      <c r="T130" s="101">
        <v>500088</v>
      </c>
      <c r="U130" t="s">
        <v>598</v>
      </c>
      <c r="V130">
        <v>128</v>
      </c>
      <c r="W130">
        <f t="shared" si="6"/>
        <v>128</v>
      </c>
      <c r="X130">
        <f t="shared" si="7"/>
        <v>128</v>
      </c>
      <c r="Y130" s="108">
        <f>IFERROR(INDEX($T$3:U$352, $X130, COLUMNS($Y$3:Y130)), "")</f>
        <v>500088</v>
      </c>
      <c r="Z130" s="108" t="str">
        <f>IFERROR(INDEX($T$3:V$352, $X130, COLUMNS($Y$3:Z130)), "")</f>
        <v>Valley Medical Center (Renton)</v>
      </c>
    </row>
    <row r="131" spans="11:26" x14ac:dyDescent="0.25">
      <c r="K131" s="104"/>
      <c r="L131" s="104"/>
      <c r="M131" s="104"/>
      <c r="N131" s="104">
        <v>129</v>
      </c>
      <c r="O131" s="104" t="str">
        <f t="shared" si="4"/>
        <v/>
      </c>
      <c r="P131" s="104" t="str">
        <f t="shared" si="5"/>
        <v/>
      </c>
      <c r="Q131" s="104" t="str">
        <f>IFERROR(INDEX($M$3:M$350, $P131, COLUMNS($Q$3:Q478)),"")</f>
        <v/>
      </c>
      <c r="R131" s="104"/>
      <c r="S131" t="s">
        <v>599</v>
      </c>
      <c r="T131" s="101">
        <v>90008</v>
      </c>
      <c r="U131" t="s">
        <v>600</v>
      </c>
      <c r="V131">
        <v>129</v>
      </c>
      <c r="W131">
        <f t="shared" si="6"/>
        <v>129</v>
      </c>
      <c r="X131">
        <f t="shared" si="7"/>
        <v>129</v>
      </c>
      <c r="Y131" s="108">
        <f>IFERROR(INDEX($T$3:U$352, $X131, COLUMNS($Y$3:Y131)), "")</f>
        <v>90008</v>
      </c>
      <c r="Z131" s="108" t="str">
        <f>IFERROR(INDEX($T$3:V$352, $X131, COLUMNS($Y$3:Z131)), "")</f>
        <v>United Medical Center (Washington)</v>
      </c>
    </row>
    <row r="132" spans="11:26" x14ac:dyDescent="0.25">
      <c r="K132" s="104"/>
      <c r="L132" s="104"/>
      <c r="M132" s="104"/>
      <c r="N132" s="104">
        <v>130</v>
      </c>
      <c r="O132" s="104" t="str">
        <f t="shared" ref="O132:O195" si="8">IF(ISNUMBER(SEARCH($K$4, L132)), N132, "")</f>
        <v/>
      </c>
      <c r="P132" s="104" t="str">
        <f t="shared" ref="P132:P195" si="9">IFERROR(SMALL($O$3:$O$352, N132), "")</f>
        <v/>
      </c>
      <c r="Q132" s="104" t="str">
        <f>IFERROR(INDEX($M$3:M$350, $P132, COLUMNS($Q$3:Q479)),"")</f>
        <v/>
      </c>
      <c r="R132" s="104"/>
      <c r="S132" t="s">
        <v>601</v>
      </c>
      <c r="T132" s="101">
        <v>450213</v>
      </c>
      <c r="U132" t="s">
        <v>602</v>
      </c>
      <c r="V132">
        <v>130</v>
      </c>
      <c r="W132">
        <f t="shared" ref="W132:W195" si="10">IF(ISNUMBER(SEARCH($R$3, S132)), V132, "")</f>
        <v>130</v>
      </c>
      <c r="X132">
        <f t="shared" si="7"/>
        <v>130</v>
      </c>
      <c r="Y132" s="108">
        <f>IFERROR(INDEX($T$3:U$352, $X132, COLUMNS($Y$3:Y132)), "")</f>
        <v>450213</v>
      </c>
      <c r="Z132" s="108" t="str">
        <f>IFERROR(INDEX($T$3:V$352, $X132, COLUMNS($Y$3:Z132)), "")</f>
        <v>University Hospital (San Antonio)</v>
      </c>
    </row>
    <row r="133" spans="11:26" x14ac:dyDescent="0.25">
      <c r="K133" s="104"/>
      <c r="L133" s="104"/>
      <c r="M133" s="104"/>
      <c r="N133" s="104">
        <v>131</v>
      </c>
      <c r="O133" s="104" t="str">
        <f t="shared" si="8"/>
        <v/>
      </c>
      <c r="P133" s="104" t="str">
        <f t="shared" si="9"/>
        <v/>
      </c>
      <c r="Q133" s="104" t="str">
        <f>IFERROR(INDEX($M$3:M$350, $P133, COLUMNS($Q$3:Q480)),"")</f>
        <v/>
      </c>
      <c r="R133" s="104"/>
      <c r="S133" t="s">
        <v>603</v>
      </c>
      <c r="T133" s="101">
        <v>310119</v>
      </c>
      <c r="U133" t="s">
        <v>604</v>
      </c>
      <c r="V133">
        <v>131</v>
      </c>
      <c r="W133">
        <f t="shared" si="10"/>
        <v>131</v>
      </c>
      <c r="X133">
        <f t="shared" ref="X133:X196" si="11">IFERROR(SMALL($W$3:$W$165, V133), "")</f>
        <v>131</v>
      </c>
      <c r="Y133" s="108">
        <f>IFERROR(INDEX($T$3:U$352, $X133, COLUMNS($Y$3:Y133)), "")</f>
        <v>310119</v>
      </c>
      <c r="Z133" s="108" t="str">
        <f>IFERROR(INDEX($T$3:V$352, $X133, COLUMNS($Y$3:Z133)), "")</f>
        <v>University Hospital (Newark)</v>
      </c>
    </row>
    <row r="134" spans="11:26" x14ac:dyDescent="0.25">
      <c r="K134" s="104"/>
      <c r="L134" s="104"/>
      <c r="M134" s="104"/>
      <c r="N134" s="104">
        <v>132</v>
      </c>
      <c r="O134" s="104" t="str">
        <f t="shared" si="8"/>
        <v/>
      </c>
      <c r="P134" s="104" t="str">
        <f t="shared" si="9"/>
        <v/>
      </c>
      <c r="Q134" s="104" t="str">
        <f>IFERROR(INDEX($M$3:M$350, $P134, COLUMNS($Q$3:Q481)),"")</f>
        <v/>
      </c>
      <c r="R134" s="104"/>
      <c r="S134" t="s">
        <v>605</v>
      </c>
      <c r="T134" s="101">
        <v>450024</v>
      </c>
      <c r="U134" t="s">
        <v>606</v>
      </c>
      <c r="V134">
        <v>132</v>
      </c>
      <c r="W134">
        <f t="shared" si="10"/>
        <v>132</v>
      </c>
      <c r="X134">
        <f t="shared" si="11"/>
        <v>132</v>
      </c>
      <c r="Y134" s="108">
        <f>IFERROR(INDEX($T$3:U$352, $X134, COLUMNS($Y$3:Y134)), "")</f>
        <v>450024</v>
      </c>
      <c r="Z134" s="108" t="str">
        <f>IFERROR(INDEX($T$3:V$352, $X134, COLUMNS($Y$3:Z134)), "")</f>
        <v>University Medical Center of El Paso (El Paso); El Paso Children's Hospital (El Paso)</v>
      </c>
    </row>
    <row r="135" spans="11:26" x14ac:dyDescent="0.25">
      <c r="K135" s="104"/>
      <c r="L135" s="104"/>
      <c r="M135" s="104"/>
      <c r="N135" s="104">
        <v>133</v>
      </c>
      <c r="O135" s="104" t="str">
        <f t="shared" si="8"/>
        <v/>
      </c>
      <c r="P135" s="104" t="str">
        <f t="shared" si="9"/>
        <v/>
      </c>
      <c r="Q135" s="104" t="str">
        <f>IFERROR(INDEX($M$3:M$350, $P135, COLUMNS($Q$3:Q482)),"")</f>
        <v/>
      </c>
      <c r="R135" s="104"/>
      <c r="S135" t="s">
        <v>607</v>
      </c>
      <c r="T135" s="101">
        <v>290007</v>
      </c>
      <c r="U135" t="s">
        <v>608</v>
      </c>
      <c r="V135">
        <v>133</v>
      </c>
      <c r="W135">
        <f t="shared" si="10"/>
        <v>133</v>
      </c>
      <c r="X135">
        <f t="shared" si="11"/>
        <v>133</v>
      </c>
      <c r="Y135" s="108">
        <f>IFERROR(INDEX($T$3:U$352, $X135, COLUMNS($Y$3:Y135)), "")</f>
        <v>290007</v>
      </c>
      <c r="Z135" s="108" t="str">
        <f>IFERROR(INDEX($T$3:V$352, $X135, COLUMNS($Y$3:Z135)), "")</f>
        <v>University Medical Center of Southern Nevada (Las Vegas); Children's Hospital of Nevada at UMC (Las Vegas)</v>
      </c>
    </row>
    <row r="136" spans="11:26" x14ac:dyDescent="0.25">
      <c r="K136" s="104"/>
      <c r="L136" s="104"/>
      <c r="M136" s="104"/>
      <c r="N136" s="104">
        <v>134</v>
      </c>
      <c r="O136" s="104" t="str">
        <f t="shared" si="8"/>
        <v/>
      </c>
      <c r="P136" s="104" t="str">
        <f t="shared" si="9"/>
        <v/>
      </c>
      <c r="Q136" s="104" t="str">
        <f>IFERROR(INDEX($M$3:M$350, $P136, COLUMNS($Q$3:Q483)),"")</f>
        <v/>
      </c>
      <c r="R136" s="104"/>
      <c r="S136" t="s">
        <v>609</v>
      </c>
      <c r="T136" s="101">
        <v>10033</v>
      </c>
      <c r="U136" t="s">
        <v>610</v>
      </c>
      <c r="V136">
        <v>134</v>
      </c>
      <c r="W136">
        <f t="shared" si="10"/>
        <v>134</v>
      </c>
      <c r="X136">
        <f t="shared" si="11"/>
        <v>134</v>
      </c>
      <c r="Y136" s="108">
        <f>IFERROR(INDEX($T$3:U$352, $X136, COLUMNS($Y$3:Y136)), "")</f>
        <v>10033</v>
      </c>
      <c r="Z136" s="108" t="str">
        <f>IFERROR(INDEX($T$3:V$352, $X136, COLUMNS($Y$3:Z136)), "")</f>
        <v>UAB Hospital (Birmingham); UAB Hospital Highlands (Birmingham); Spain Rehabilitation Center (Birmingham); Women &amp; Infants Center (Birmingham)</v>
      </c>
    </row>
    <row r="137" spans="11:26" x14ac:dyDescent="0.25">
      <c r="K137" s="104"/>
      <c r="L137" s="104"/>
      <c r="M137" s="104"/>
      <c r="N137" s="104">
        <v>135</v>
      </c>
      <c r="O137" s="104" t="str">
        <f t="shared" si="8"/>
        <v/>
      </c>
      <c r="P137" s="104" t="str">
        <f t="shared" si="9"/>
        <v/>
      </c>
      <c r="Q137" s="104" t="str">
        <f>IFERROR(INDEX($M$3:M$350, $P137, COLUMNS($Q$3:Q484)),"")</f>
        <v/>
      </c>
      <c r="R137" s="104"/>
      <c r="S137" t="s">
        <v>609</v>
      </c>
      <c r="T137" s="101">
        <v>10018</v>
      </c>
      <c r="U137" t="s">
        <v>611</v>
      </c>
      <c r="V137">
        <v>135</v>
      </c>
      <c r="W137">
        <f t="shared" si="10"/>
        <v>135</v>
      </c>
      <c r="X137">
        <f t="shared" si="11"/>
        <v>135</v>
      </c>
      <c r="Y137" s="108">
        <f>IFERROR(INDEX($T$3:U$352, $X137, COLUMNS($Y$3:Y137)), "")</f>
        <v>10018</v>
      </c>
      <c r="Z137" s="108" t="str">
        <f>IFERROR(INDEX($T$3:V$352, $X137, COLUMNS($Y$3:Z137)), "")</f>
        <v>UAB Callahan Eye Hospital (Birmingham)</v>
      </c>
    </row>
    <row r="138" spans="11:26" x14ac:dyDescent="0.25">
      <c r="K138" s="104"/>
      <c r="L138" s="104"/>
      <c r="M138" s="104"/>
      <c r="N138" s="104">
        <v>136</v>
      </c>
      <c r="O138" s="104" t="str">
        <f t="shared" si="8"/>
        <v/>
      </c>
      <c r="P138" s="104" t="str">
        <f t="shared" si="9"/>
        <v/>
      </c>
      <c r="Q138" s="104" t="str">
        <f>IFERROR(INDEX($M$3:M$350, $P138, COLUMNS($Q$3:Q485)),"")</f>
        <v/>
      </c>
      <c r="R138" s="104"/>
      <c r="S138" t="s">
        <v>612</v>
      </c>
      <c r="T138" s="101">
        <v>40016</v>
      </c>
      <c r="U138" t="s">
        <v>613</v>
      </c>
      <c r="V138">
        <v>136</v>
      </c>
      <c r="W138">
        <f t="shared" si="10"/>
        <v>136</v>
      </c>
      <c r="X138">
        <f t="shared" si="11"/>
        <v>136</v>
      </c>
      <c r="Y138" s="108">
        <f>IFERROR(INDEX($T$3:U$352, $X138, COLUMNS($Y$3:Y138)), "")</f>
        <v>40016</v>
      </c>
      <c r="Z138" s="108" t="str">
        <f>IFERROR(INDEX($T$3:V$352, $X138, COLUMNS($Y$3:Z138)), "")</f>
        <v>University of Arkansas for Medical Sciences (UAMS) Medical Center (Little Rock)</v>
      </c>
    </row>
    <row r="139" spans="11:26" x14ac:dyDescent="0.25">
      <c r="K139" s="104"/>
      <c r="L139" s="104"/>
      <c r="M139" s="104"/>
      <c r="N139" s="104">
        <v>137</v>
      </c>
      <c r="O139" s="104" t="str">
        <f t="shared" si="8"/>
        <v/>
      </c>
      <c r="P139" s="104" t="str">
        <f t="shared" si="9"/>
        <v/>
      </c>
      <c r="Q139" s="104" t="str">
        <f>IFERROR(INDEX($M$3:M$350, $P139, COLUMNS($Q$3:Q486)),"")</f>
        <v/>
      </c>
      <c r="R139" s="104"/>
      <c r="S139" t="s">
        <v>614</v>
      </c>
      <c r="T139" s="101">
        <v>50262</v>
      </c>
      <c r="U139" t="s">
        <v>615</v>
      </c>
      <c r="V139">
        <v>137</v>
      </c>
      <c r="W139">
        <f t="shared" si="10"/>
        <v>137</v>
      </c>
      <c r="X139">
        <f t="shared" si="11"/>
        <v>137</v>
      </c>
      <c r="Y139" s="108">
        <f>IFERROR(INDEX($T$3:U$352, $X139, COLUMNS($Y$3:Y139)), "")</f>
        <v>50262</v>
      </c>
      <c r="Z139" s="108" t="str">
        <f>IFERROR(INDEX($T$3:V$352, $X139, COLUMNS($Y$3:Z139)), "")</f>
        <v>Ronald Reagan UCLA Medical Center (Los Angeles)</v>
      </c>
    </row>
    <row r="140" spans="11:26" x14ac:dyDescent="0.25">
      <c r="K140" s="104"/>
      <c r="L140" s="104"/>
      <c r="M140" s="104"/>
      <c r="N140" s="104">
        <v>138</v>
      </c>
      <c r="O140" s="104" t="str">
        <f t="shared" si="8"/>
        <v/>
      </c>
      <c r="P140" s="104" t="str">
        <f t="shared" si="9"/>
        <v/>
      </c>
      <c r="Q140" s="104" t="str">
        <f>IFERROR(INDEX($M$3:M$350, $P140, COLUMNS($Q$3:Q487)),"")</f>
        <v/>
      </c>
      <c r="R140" s="104"/>
      <c r="S140" t="s">
        <v>614</v>
      </c>
      <c r="T140" s="101">
        <v>54009</v>
      </c>
      <c r="U140" t="s">
        <v>616</v>
      </c>
      <c r="V140">
        <v>138</v>
      </c>
      <c r="W140">
        <f t="shared" si="10"/>
        <v>138</v>
      </c>
      <c r="X140">
        <f t="shared" si="11"/>
        <v>138</v>
      </c>
      <c r="Y140" s="108">
        <f>IFERROR(INDEX($T$3:U$352, $X140, COLUMNS($Y$3:Y140)), "")</f>
        <v>54009</v>
      </c>
      <c r="Z140" s="108" t="str">
        <f>IFERROR(INDEX($T$3:V$352, $X140, COLUMNS($Y$3:Z140)), "")</f>
        <v>Resnick Neuropsychiatric Hospital at UCLA (Los Angeles)</v>
      </c>
    </row>
    <row r="141" spans="11:26" x14ac:dyDescent="0.25">
      <c r="K141" s="104"/>
      <c r="L141" s="104"/>
      <c r="M141" s="104"/>
      <c r="N141" s="104">
        <v>139</v>
      </c>
      <c r="O141" s="104" t="str">
        <f t="shared" si="8"/>
        <v/>
      </c>
      <c r="P141" s="104" t="str">
        <f t="shared" si="9"/>
        <v/>
      </c>
      <c r="Q141" s="104" t="str">
        <f>IFERROR(INDEX($M$3:M$350, $P141, COLUMNS($Q$3:Q488)),"")</f>
        <v/>
      </c>
      <c r="R141" s="104"/>
      <c r="S141" t="s">
        <v>614</v>
      </c>
      <c r="T141" s="101">
        <v>50599</v>
      </c>
      <c r="U141" t="s">
        <v>617</v>
      </c>
      <c r="V141">
        <v>139</v>
      </c>
      <c r="W141">
        <f t="shared" si="10"/>
        <v>139</v>
      </c>
      <c r="X141">
        <f t="shared" si="11"/>
        <v>139</v>
      </c>
      <c r="Y141" s="108">
        <f>IFERROR(INDEX($T$3:U$352, $X141, COLUMNS($Y$3:Y141)), "")</f>
        <v>50599</v>
      </c>
      <c r="Z141" s="108" t="str">
        <f>IFERROR(INDEX($T$3:V$352, $X141, COLUMNS($Y$3:Z141)), "")</f>
        <v>UC Davis Medical Center (Sacramento)</v>
      </c>
    </row>
    <row r="142" spans="11:26" x14ac:dyDescent="0.25">
      <c r="K142" s="104"/>
      <c r="L142" s="104"/>
      <c r="M142" s="104"/>
      <c r="N142" s="104">
        <v>140</v>
      </c>
      <c r="O142" s="104" t="str">
        <f t="shared" si="8"/>
        <v/>
      </c>
      <c r="P142" s="104" t="str">
        <f t="shared" si="9"/>
        <v/>
      </c>
      <c r="Q142" s="104" t="str">
        <f>IFERROR(INDEX($M$3:M$350, $P142, COLUMNS($Q$3:Q489)),"")</f>
        <v/>
      </c>
      <c r="R142" s="104"/>
      <c r="S142" t="s">
        <v>614</v>
      </c>
      <c r="T142" s="101">
        <v>50348</v>
      </c>
      <c r="U142" t="s">
        <v>618</v>
      </c>
      <c r="V142">
        <v>140</v>
      </c>
      <c r="W142">
        <f t="shared" si="10"/>
        <v>140</v>
      </c>
      <c r="X142">
        <f t="shared" si="11"/>
        <v>140</v>
      </c>
      <c r="Y142" s="108">
        <f>IFERROR(INDEX($T$3:U$352, $X142, COLUMNS($Y$3:Y142)), "")</f>
        <v>50348</v>
      </c>
      <c r="Z142" s="108" t="str">
        <f>IFERROR(INDEX($T$3:V$352, $X142, COLUMNS($Y$3:Z142)), "")</f>
        <v>UC Irvine Medical Center (Orange)</v>
      </c>
    </row>
    <row r="143" spans="11:26" x14ac:dyDescent="0.25">
      <c r="K143" s="104"/>
      <c r="L143" s="104"/>
      <c r="M143" s="104"/>
      <c r="N143" s="104">
        <v>141</v>
      </c>
      <c r="O143" s="104" t="str">
        <f t="shared" si="8"/>
        <v/>
      </c>
      <c r="P143" s="104" t="str">
        <f t="shared" si="9"/>
        <v/>
      </c>
      <c r="Q143" s="104" t="str">
        <f>IFERROR(INDEX($M$3:M$350, $P143, COLUMNS($Q$3:Q490)),"")</f>
        <v/>
      </c>
      <c r="R143" s="104"/>
      <c r="S143" t="s">
        <v>614</v>
      </c>
      <c r="T143" s="101">
        <v>50454</v>
      </c>
      <c r="U143" t="s">
        <v>619</v>
      </c>
      <c r="V143">
        <v>141</v>
      </c>
      <c r="W143">
        <f t="shared" si="10"/>
        <v>141</v>
      </c>
      <c r="X143">
        <f t="shared" si="11"/>
        <v>141</v>
      </c>
      <c r="Y143" s="108">
        <f>IFERROR(INDEX($T$3:U$352, $X143, COLUMNS($Y$3:Y143)), "")</f>
        <v>50454</v>
      </c>
      <c r="Z143" s="108" t="str">
        <f>IFERROR(INDEX($T$3:V$352, $X143, COLUMNS($Y$3:Z143)), "")</f>
        <v>UCSF Medical Center at Mount Zion (San Francisco); UCSF Medical Center at Parnassus (San Francisco)</v>
      </c>
    </row>
    <row r="144" spans="11:26" x14ac:dyDescent="0.25">
      <c r="K144" s="104"/>
      <c r="L144" s="104"/>
      <c r="M144" s="104"/>
      <c r="N144" s="104">
        <v>142</v>
      </c>
      <c r="O144" s="104" t="str">
        <f t="shared" si="8"/>
        <v/>
      </c>
      <c r="P144" s="104" t="str">
        <f t="shared" si="9"/>
        <v/>
      </c>
      <c r="Q144" s="104" t="str">
        <f>IFERROR(INDEX($M$3:M$350, $P144, COLUMNS($Q$3:Q491)),"")</f>
        <v/>
      </c>
      <c r="R144" s="104"/>
      <c r="S144" t="s">
        <v>614</v>
      </c>
      <c r="T144" s="101">
        <v>50112</v>
      </c>
      <c r="U144" t="s">
        <v>620</v>
      </c>
      <c r="V144">
        <v>142</v>
      </c>
      <c r="W144">
        <f t="shared" si="10"/>
        <v>142</v>
      </c>
      <c r="X144">
        <f t="shared" si="11"/>
        <v>142</v>
      </c>
      <c r="Y144" s="108">
        <f>IFERROR(INDEX($T$3:U$352, $X144, COLUMNS($Y$3:Y144)), "")</f>
        <v>50112</v>
      </c>
      <c r="Z144" s="108" t="str">
        <f>IFERROR(INDEX($T$3:V$352, $X144, COLUMNS($Y$3:Z144)), "")</f>
        <v>UCLA Medical Center Santa Monica (Santa Monica)</v>
      </c>
    </row>
    <row r="145" spans="11:26" x14ac:dyDescent="0.25">
      <c r="K145" s="104"/>
      <c r="L145" s="104"/>
      <c r="M145" s="104"/>
      <c r="N145" s="104">
        <v>143</v>
      </c>
      <c r="O145" s="104" t="str">
        <f t="shared" si="8"/>
        <v/>
      </c>
      <c r="P145" s="104" t="str">
        <f t="shared" si="9"/>
        <v/>
      </c>
      <c r="Q145" s="104" t="str">
        <f>IFERROR(INDEX($M$3:M$350, $P145, COLUMNS($Q$3:Q492)),"")</f>
        <v/>
      </c>
      <c r="R145" s="104"/>
      <c r="S145" t="s">
        <v>621</v>
      </c>
      <c r="T145" s="101">
        <v>140088</v>
      </c>
      <c r="U145" t="s">
        <v>622</v>
      </c>
      <c r="V145">
        <v>143</v>
      </c>
      <c r="W145">
        <f t="shared" si="10"/>
        <v>143</v>
      </c>
      <c r="X145">
        <f t="shared" si="11"/>
        <v>143</v>
      </c>
      <c r="Y145" s="108">
        <f>IFERROR(INDEX($T$3:U$352, $X145, COLUMNS($Y$3:Y145)), "")</f>
        <v>140088</v>
      </c>
      <c r="Z145" s="108" t="str">
        <f>IFERROR(INDEX($T$3:V$352, $X145, COLUMNS($Y$3:Z145)), "")</f>
        <v>University of Chicago Medical Center (Chicago); Bernard Mitchell Hospital (Chicago); Comer Children's Hospital (Chicago)</v>
      </c>
    </row>
    <row r="146" spans="11:26" x14ac:dyDescent="0.25">
      <c r="K146" s="104"/>
      <c r="L146" s="104"/>
      <c r="M146" s="104"/>
      <c r="N146" s="104">
        <v>144</v>
      </c>
      <c r="O146" s="104" t="str">
        <f t="shared" si="8"/>
        <v/>
      </c>
      <c r="P146" s="104" t="str">
        <f t="shared" si="9"/>
        <v/>
      </c>
      <c r="Q146" s="104" t="str">
        <f>IFERROR(INDEX($M$3:M$350, $P146, COLUMNS($Q$3:Q493)),"")</f>
        <v/>
      </c>
      <c r="R146" s="104"/>
      <c r="S146" t="s">
        <v>623</v>
      </c>
      <c r="T146" s="101">
        <v>100001</v>
      </c>
      <c r="U146" t="s">
        <v>624</v>
      </c>
      <c r="V146">
        <v>144</v>
      </c>
      <c r="W146">
        <f t="shared" si="10"/>
        <v>144</v>
      </c>
      <c r="X146">
        <f t="shared" si="11"/>
        <v>144</v>
      </c>
      <c r="Y146" s="108">
        <f>IFERROR(INDEX($T$3:U$352, $X146, COLUMNS($Y$3:Y146)), "")</f>
        <v>100001</v>
      </c>
      <c r="Z146" s="108" t="str">
        <f>IFERROR(INDEX($T$3:V$352, $X146, COLUMNS($Y$3:Z146)), "")</f>
        <v>UF Health Jacksonville (Jacksonville)</v>
      </c>
    </row>
    <row r="147" spans="11:26" x14ac:dyDescent="0.25">
      <c r="K147" s="104"/>
      <c r="L147" s="104"/>
      <c r="M147" s="104"/>
      <c r="N147" s="104">
        <v>145</v>
      </c>
      <c r="O147" s="104" t="str">
        <f t="shared" si="8"/>
        <v/>
      </c>
      <c r="P147" s="104" t="str">
        <f t="shared" si="9"/>
        <v/>
      </c>
      <c r="Q147" s="104" t="str">
        <f>IFERROR(INDEX($M$3:M$350, $P147, COLUMNS($Q$3:Q494)),"")</f>
        <v/>
      </c>
      <c r="R147" s="104"/>
      <c r="S147" t="s">
        <v>623</v>
      </c>
      <c r="T147" s="101">
        <v>100113</v>
      </c>
      <c r="U147" t="s">
        <v>625</v>
      </c>
      <c r="V147">
        <v>145</v>
      </c>
      <c r="W147">
        <f t="shared" si="10"/>
        <v>145</v>
      </c>
      <c r="X147">
        <f t="shared" si="11"/>
        <v>145</v>
      </c>
      <c r="Y147" s="108">
        <f>IFERROR(INDEX($T$3:U$352, $X147, COLUMNS($Y$3:Y147)), "")</f>
        <v>100113</v>
      </c>
      <c r="Z147" s="108" t="str">
        <f>IFERROR(INDEX($T$3:V$352, $X147, COLUMNS($Y$3:Z147)), "")</f>
        <v>UF Health Shands at the Univesrity of Florida (Gainesville); UF Health Shands at Vista (Gainesville); UF Health Shands Pychiatric Hospital (Gainesville); UF Healht Shands Children's Hospital (Gainesville)</v>
      </c>
    </row>
    <row r="148" spans="11:26" x14ac:dyDescent="0.25">
      <c r="K148" s="104"/>
      <c r="L148" s="104"/>
      <c r="M148" s="104"/>
      <c r="N148" s="104">
        <v>146</v>
      </c>
      <c r="O148" s="104" t="str">
        <f t="shared" si="8"/>
        <v/>
      </c>
      <c r="P148" s="104" t="str">
        <f t="shared" si="9"/>
        <v/>
      </c>
      <c r="Q148" s="104" t="str">
        <f>IFERROR(INDEX($M$3:M$350, $P148, COLUMNS($Q$3:Q495)),"")</f>
        <v/>
      </c>
      <c r="R148" s="104"/>
      <c r="S148" t="s">
        <v>626</v>
      </c>
      <c r="T148" s="101">
        <v>140150</v>
      </c>
      <c r="U148" t="s">
        <v>627</v>
      </c>
      <c r="V148">
        <v>146</v>
      </c>
      <c r="W148">
        <f t="shared" si="10"/>
        <v>146</v>
      </c>
      <c r="X148">
        <f t="shared" si="11"/>
        <v>146</v>
      </c>
      <c r="Y148" s="108">
        <f>IFERROR(INDEX($T$3:U$352, $X148, COLUMNS($Y$3:Y148)), "")</f>
        <v>140150</v>
      </c>
      <c r="Z148" s="108" t="str">
        <f>IFERROR(INDEX($T$3:V$352, $X148, COLUMNS($Y$3:Z148)), "")</f>
        <v>University of Illinois Medical Center (Chicago)</v>
      </c>
    </row>
    <row r="149" spans="11:26" x14ac:dyDescent="0.25">
      <c r="K149" s="104"/>
      <c r="L149" s="104"/>
      <c r="M149" s="104"/>
      <c r="N149" s="104">
        <v>147</v>
      </c>
      <c r="O149" s="104" t="str">
        <f t="shared" si="8"/>
        <v/>
      </c>
      <c r="P149" s="104" t="str">
        <f t="shared" si="9"/>
        <v/>
      </c>
      <c r="Q149" s="104" t="str">
        <f>IFERROR(INDEX($M$3:M$350, $P149, COLUMNS($Q$3:Q496)),"")</f>
        <v/>
      </c>
      <c r="R149" s="104"/>
      <c r="S149" t="s">
        <v>628</v>
      </c>
      <c r="T149" s="101">
        <v>250001</v>
      </c>
      <c r="U149" t="s">
        <v>629</v>
      </c>
      <c r="V149">
        <v>147</v>
      </c>
      <c r="W149">
        <f t="shared" si="10"/>
        <v>147</v>
      </c>
      <c r="X149">
        <f t="shared" si="11"/>
        <v>147</v>
      </c>
      <c r="Y149" s="108">
        <f>IFERROR(INDEX($T$3:U$352, $X149, COLUMNS($Y$3:Y149)), "")</f>
        <v>250001</v>
      </c>
      <c r="Z149" s="108" t="str">
        <f>IFERROR(INDEX($T$3:V$352, $X149, COLUMNS($Y$3:Z149)), "")</f>
        <v>University of Mississippi Medical Center (Jackson); Batson Children's Hospital (Jackson); Wallace R. Conerly Critical Care Hospital (Jackson); Winfred L. Wiser Hospital for Women and Infants (Jackson)</v>
      </c>
    </row>
    <row r="150" spans="11:26" x14ac:dyDescent="0.25">
      <c r="K150" s="104"/>
      <c r="L150" s="104"/>
      <c r="M150" s="104"/>
      <c r="N150" s="104">
        <v>148</v>
      </c>
      <c r="O150" s="104" t="str">
        <f t="shared" si="8"/>
        <v/>
      </c>
      <c r="P150" s="104" t="str">
        <f t="shared" si="9"/>
        <v/>
      </c>
      <c r="Q150" s="104" t="str">
        <f>IFERROR(INDEX($M$3:M$350, $P150, COLUMNS($Q$3:Q497)),"")</f>
        <v/>
      </c>
      <c r="R150" s="104"/>
      <c r="S150" t="s">
        <v>628</v>
      </c>
      <c r="T150" s="101">
        <v>250015</v>
      </c>
      <c r="U150" t="s">
        <v>630</v>
      </c>
      <c r="V150">
        <v>148</v>
      </c>
      <c r="W150">
        <f t="shared" si="10"/>
        <v>148</v>
      </c>
      <c r="X150">
        <f t="shared" si="11"/>
        <v>148</v>
      </c>
      <c r="Y150" s="108">
        <f>IFERROR(INDEX($T$3:U$352, $X150, COLUMNS($Y$3:Y150)), "")</f>
        <v>250015</v>
      </c>
      <c r="Z150" s="108" t="str">
        <f>IFERROR(INDEX($T$3:V$352, $X150, COLUMNS($Y$3:Z150)), "")</f>
        <v>University of Mississippi Medical Center Grenada (Grenada)</v>
      </c>
    </row>
    <row r="151" spans="11:26" x14ac:dyDescent="0.25">
      <c r="K151" s="104"/>
      <c r="L151" s="104"/>
      <c r="M151" s="104"/>
      <c r="N151" s="104">
        <v>149</v>
      </c>
      <c r="O151" s="104" t="str">
        <f t="shared" si="8"/>
        <v/>
      </c>
      <c r="P151" s="104" t="str">
        <f t="shared" si="9"/>
        <v/>
      </c>
      <c r="Q151" s="104" t="str">
        <f>IFERROR(INDEX($M$3:M$350, $P151, COLUMNS($Q$3:Q498)),"")</f>
        <v/>
      </c>
      <c r="R151" s="104"/>
      <c r="S151" t="s">
        <v>628</v>
      </c>
      <c r="T151" s="101">
        <v>251319</v>
      </c>
      <c r="U151" t="s">
        <v>631</v>
      </c>
      <c r="V151">
        <v>149</v>
      </c>
      <c r="W151">
        <f t="shared" si="10"/>
        <v>149</v>
      </c>
      <c r="X151">
        <f t="shared" si="11"/>
        <v>149</v>
      </c>
      <c r="Y151" s="108">
        <f>IFERROR(INDEX($T$3:U$352, $X151, COLUMNS($Y$3:Y151)), "")</f>
        <v>251319</v>
      </c>
      <c r="Z151" s="108" t="str">
        <f>IFERROR(INDEX($T$3:V$352, $X151, COLUMNS($Y$3:Z151)), "")</f>
        <v>Homes County Hospital and Clinics (Lexington)</v>
      </c>
    </row>
    <row r="152" spans="11:26" x14ac:dyDescent="0.25">
      <c r="K152" s="104"/>
      <c r="L152" s="104"/>
      <c r="M152" s="104"/>
      <c r="N152" s="104">
        <v>150</v>
      </c>
      <c r="O152" s="104" t="str">
        <f t="shared" si="8"/>
        <v/>
      </c>
      <c r="P152" s="104" t="str">
        <f t="shared" si="9"/>
        <v/>
      </c>
      <c r="Q152" s="104" t="str">
        <f>IFERROR(INDEX($M$3:M$350, $P152, COLUMNS($Q$3:Q499)),"")</f>
        <v/>
      </c>
      <c r="R152" s="104"/>
      <c r="S152" t="s">
        <v>632</v>
      </c>
      <c r="T152" s="101">
        <v>260141</v>
      </c>
      <c r="U152" t="s">
        <v>633</v>
      </c>
      <c r="V152">
        <v>150</v>
      </c>
      <c r="W152">
        <f t="shared" si="10"/>
        <v>150</v>
      </c>
      <c r="X152">
        <f t="shared" si="11"/>
        <v>150</v>
      </c>
      <c r="Y152" s="108">
        <f>IFERROR(INDEX($T$3:U$352, $X152, COLUMNS($Y$3:Y152)), "")</f>
        <v>260141</v>
      </c>
      <c r="Z152" s="108" t="str">
        <f>IFERROR(INDEX($T$3:V$352, $X152, COLUMNS($Y$3:Z152)), "")</f>
        <v>University of Missouri Hospital (Columbia); Women's and Children's Hospital (Columbia); Missouri Psychiatric Center (Columbia)</v>
      </c>
    </row>
    <row r="153" spans="11:26" x14ac:dyDescent="0.25">
      <c r="K153" s="104"/>
      <c r="L153" s="104"/>
      <c r="M153" s="104"/>
      <c r="N153" s="104">
        <v>151</v>
      </c>
      <c r="O153" s="104" t="str">
        <f t="shared" si="8"/>
        <v/>
      </c>
      <c r="P153" s="104" t="str">
        <f t="shared" si="9"/>
        <v/>
      </c>
      <c r="Q153" s="104" t="str">
        <f>IFERROR(INDEX($M$3:M$350, $P153, COLUMNS($Q$3:Q500)),"")</f>
        <v/>
      </c>
      <c r="R153" s="104"/>
      <c r="S153" t="s">
        <v>634</v>
      </c>
      <c r="T153" s="101">
        <v>10087</v>
      </c>
      <c r="U153" t="s">
        <v>635</v>
      </c>
      <c r="V153">
        <v>151</v>
      </c>
      <c r="W153">
        <f t="shared" si="10"/>
        <v>151</v>
      </c>
      <c r="X153">
        <f t="shared" si="11"/>
        <v>151</v>
      </c>
      <c r="Y153" s="108">
        <f>IFERROR(INDEX($T$3:U$352, $X153, COLUMNS($Y$3:Y153)), "")</f>
        <v>10087</v>
      </c>
      <c r="Z153" s="108" t="str">
        <f>IFERROR(INDEX($T$3:V$352, $X153, COLUMNS($Y$3:Z153)), "")</f>
        <v>University of South Alabama Medical Center (Mobile)</v>
      </c>
    </row>
    <row r="154" spans="11:26" x14ac:dyDescent="0.25">
      <c r="K154" s="104"/>
      <c r="L154" s="104"/>
      <c r="M154" s="104"/>
      <c r="N154" s="104">
        <v>152</v>
      </c>
      <c r="O154" s="104" t="str">
        <f t="shared" si="8"/>
        <v/>
      </c>
      <c r="P154" s="104" t="str">
        <f t="shared" si="9"/>
        <v/>
      </c>
      <c r="Q154" s="104" t="str">
        <f>IFERROR(INDEX($M$3:M$350, $P154, COLUMNS($Q$3:Q501)),"")</f>
        <v/>
      </c>
      <c r="R154" s="104"/>
      <c r="S154" t="s">
        <v>634</v>
      </c>
      <c r="T154" s="101">
        <v>13301</v>
      </c>
      <c r="U154" t="s">
        <v>636</v>
      </c>
      <c r="V154">
        <v>152</v>
      </c>
      <c r="W154">
        <f t="shared" si="10"/>
        <v>152</v>
      </c>
      <c r="X154">
        <f t="shared" si="11"/>
        <v>152</v>
      </c>
      <c r="Y154" s="108">
        <f>IFERROR(INDEX($T$3:U$352, $X154, COLUMNS($Y$3:Y154)), "")</f>
        <v>13301</v>
      </c>
      <c r="Z154" s="108" t="str">
        <f>IFERROR(INDEX($T$3:V$352, $X154, COLUMNS($Y$3:Z154)), "")</f>
        <v>University of South Alabama Children's &amp; Women's Hospital (Mobile)</v>
      </c>
    </row>
    <row r="155" spans="11:26" x14ac:dyDescent="0.25">
      <c r="K155" s="104"/>
      <c r="L155" s="104"/>
      <c r="M155" s="104"/>
      <c r="N155" s="104">
        <v>153</v>
      </c>
      <c r="O155" s="104" t="str">
        <f t="shared" si="8"/>
        <v/>
      </c>
      <c r="P155" s="104" t="str">
        <f t="shared" si="9"/>
        <v/>
      </c>
      <c r="Q155" s="104" t="str">
        <f>IFERROR(INDEX($M$3:M$350, $P155, COLUMNS($Q$3:Q502)),"")</f>
        <v/>
      </c>
      <c r="R155" s="104"/>
      <c r="S155" t="s">
        <v>637</v>
      </c>
      <c r="T155" s="101">
        <v>460009</v>
      </c>
      <c r="U155" t="s">
        <v>638</v>
      </c>
      <c r="V155">
        <v>153</v>
      </c>
      <c r="W155">
        <f t="shared" si="10"/>
        <v>153</v>
      </c>
      <c r="X155">
        <f t="shared" si="11"/>
        <v>153</v>
      </c>
      <c r="Y155" s="108">
        <f>IFERROR(INDEX($T$3:U$352, $X155, COLUMNS($Y$3:Y155)), "")</f>
        <v>460009</v>
      </c>
      <c r="Z155" s="108" t="str">
        <f>IFERROR(INDEX($T$3:V$352, $X155, COLUMNS($Y$3:Z155)), "")</f>
        <v>University of Utah Health Care (Salt Lake City)</v>
      </c>
    </row>
    <row r="156" spans="11:26" x14ac:dyDescent="0.25">
      <c r="K156" s="104"/>
      <c r="L156" s="104"/>
      <c r="M156" s="104"/>
      <c r="N156" s="104">
        <v>154</v>
      </c>
      <c r="O156" s="104" t="str">
        <f t="shared" si="8"/>
        <v/>
      </c>
      <c r="P156" s="104" t="str">
        <f t="shared" si="9"/>
        <v/>
      </c>
      <c r="Q156" s="104" t="str">
        <f>IFERROR(INDEX($M$3:M$350, $P156, COLUMNS($Q$3:Q503)),"")</f>
        <v/>
      </c>
      <c r="R156" s="104"/>
      <c r="S156" t="s">
        <v>639</v>
      </c>
      <c r="T156" s="101">
        <v>50159</v>
      </c>
      <c r="U156" t="s">
        <v>640</v>
      </c>
      <c r="V156">
        <v>154</v>
      </c>
      <c r="W156">
        <f t="shared" si="10"/>
        <v>154</v>
      </c>
      <c r="X156">
        <f t="shared" si="11"/>
        <v>154</v>
      </c>
      <c r="Y156" s="108">
        <f>IFERROR(INDEX($T$3:U$352, $X156, COLUMNS($Y$3:Y156)), "")</f>
        <v>50159</v>
      </c>
      <c r="Z156" s="108" t="str">
        <f>IFERROR(INDEX($T$3:V$352, $X156, COLUMNS($Y$3:Z156)), "")</f>
        <v>Ventura County Medical Center (Ventura)</v>
      </c>
    </row>
    <row r="157" spans="11:26" x14ac:dyDescent="0.25">
      <c r="K157" s="104"/>
      <c r="L157" s="104"/>
      <c r="M157" s="104"/>
      <c r="N157" s="104">
        <v>155</v>
      </c>
      <c r="O157" s="104" t="str">
        <f t="shared" si="8"/>
        <v/>
      </c>
      <c r="P157" s="104" t="str">
        <f t="shared" si="9"/>
        <v/>
      </c>
      <c r="Q157" s="104" t="str">
        <f>IFERROR(INDEX($M$3:M$350, $P157, COLUMNS($Q$3:Q504)),"")</f>
        <v/>
      </c>
      <c r="R157" s="104"/>
      <c r="S157" t="s">
        <v>641</v>
      </c>
      <c r="T157" s="101">
        <v>490032</v>
      </c>
      <c r="U157" t="s">
        <v>642</v>
      </c>
      <c r="V157">
        <v>155</v>
      </c>
      <c r="W157">
        <f t="shared" si="10"/>
        <v>155</v>
      </c>
      <c r="X157">
        <f t="shared" si="11"/>
        <v>155</v>
      </c>
      <c r="Y157" s="108">
        <f>IFERROR(INDEX($T$3:U$352, $X157, COLUMNS($Y$3:Y157)), "")</f>
        <v>490032</v>
      </c>
      <c r="Z157" s="108" t="str">
        <f>IFERROR(INDEX($T$3:V$352, $X157, COLUMNS($Y$3:Z157)), "")</f>
        <v>VCU Medical Center (Richmond); VCU Pauley Heart Center (Richmond)</v>
      </c>
    </row>
    <row r="158" spans="11:26" x14ac:dyDescent="0.25">
      <c r="K158" s="104"/>
      <c r="L158" s="104"/>
      <c r="M158" s="104"/>
      <c r="N158" s="104">
        <v>156</v>
      </c>
      <c r="O158" s="104" t="str">
        <f t="shared" si="8"/>
        <v/>
      </c>
      <c r="P158" s="104" t="str">
        <f t="shared" si="9"/>
        <v/>
      </c>
      <c r="Q158" s="104" t="str">
        <f>IFERROR(INDEX($M$3:M$350, $P158, COLUMNS($Q$3:Q505)),"")</f>
        <v/>
      </c>
      <c r="R158" s="104"/>
      <c r="S158" t="s">
        <v>641</v>
      </c>
      <c r="T158" s="101">
        <v>493302</v>
      </c>
      <c r="U158" t="s">
        <v>643</v>
      </c>
      <c r="V158">
        <v>156</v>
      </c>
      <c r="W158">
        <f t="shared" si="10"/>
        <v>156</v>
      </c>
      <c r="X158">
        <f t="shared" si="11"/>
        <v>156</v>
      </c>
      <c r="Y158" s="108">
        <f>IFERROR(INDEX($T$3:U$352, $X158, COLUMNS($Y$3:Y158)), "")</f>
        <v>493302</v>
      </c>
      <c r="Z158" s="108" t="str">
        <f>IFERROR(INDEX($T$3:V$352, $X158, COLUMNS($Y$3:Z158)), "")</f>
        <v>Children's Hospital of Richmond (Richmond)</v>
      </c>
    </row>
    <row r="159" spans="11:26" x14ac:dyDescent="0.25">
      <c r="K159" s="104"/>
      <c r="L159" s="104"/>
      <c r="M159" s="104"/>
      <c r="N159" s="104">
        <v>157</v>
      </c>
      <c r="O159" s="104" t="str">
        <f t="shared" si="8"/>
        <v/>
      </c>
      <c r="P159" s="104" t="str">
        <f t="shared" si="9"/>
        <v/>
      </c>
      <c r="Q159" s="104" t="str">
        <f>IFERROR(INDEX($M$3:M$350, $P159, COLUMNS($Q$3:Q506)),"")</f>
        <v/>
      </c>
      <c r="R159" s="104"/>
      <c r="S159" t="s">
        <v>644</v>
      </c>
      <c r="T159" s="101">
        <v>510008</v>
      </c>
      <c r="U159" t="s">
        <v>645</v>
      </c>
      <c r="V159">
        <v>157</v>
      </c>
      <c r="W159">
        <f t="shared" si="10"/>
        <v>157</v>
      </c>
      <c r="X159">
        <f t="shared" si="11"/>
        <v>157</v>
      </c>
      <c r="Y159" s="108">
        <f>IFERROR(INDEX($T$3:U$352, $X159, COLUMNS($Y$3:Y159)), "")</f>
        <v>510008</v>
      </c>
      <c r="Z159" s="108" t="str">
        <f>IFERROR(INDEX($T$3:V$352, $X159, COLUMNS($Y$3:Z159)), "")</f>
        <v>Berkeley Medical Center (Martinsburg)</v>
      </c>
    </row>
    <row r="160" spans="11:26" x14ac:dyDescent="0.25">
      <c r="K160" s="104"/>
      <c r="L160" s="104"/>
      <c r="M160" s="104"/>
      <c r="N160" s="104">
        <v>158</v>
      </c>
      <c r="O160" s="104" t="str">
        <f t="shared" si="8"/>
        <v/>
      </c>
      <c r="P160" s="104" t="str">
        <f t="shared" si="9"/>
        <v/>
      </c>
      <c r="Q160" s="104" t="str">
        <f>IFERROR(INDEX($M$3:M$350, $P160, COLUMNS($Q$3:Q507)),"")</f>
        <v/>
      </c>
      <c r="R160" s="104"/>
      <c r="S160" t="s">
        <v>644</v>
      </c>
      <c r="T160" s="101">
        <v>510058</v>
      </c>
      <c r="U160" t="s">
        <v>646</v>
      </c>
      <c r="V160">
        <v>158</v>
      </c>
      <c r="W160">
        <f t="shared" si="10"/>
        <v>158</v>
      </c>
      <c r="X160">
        <f t="shared" si="11"/>
        <v>158</v>
      </c>
      <c r="Y160" s="108">
        <f>IFERROR(INDEX($T$3:U$352, $X160, COLUMNS($Y$3:Y160)), "")</f>
        <v>510058</v>
      </c>
      <c r="Z160" s="108" t="str">
        <f>IFERROR(INDEX($T$3:V$352, $X160, COLUMNS($Y$3:Z160)), "")</f>
        <v>Camden Clark Medical Center (Parkersburg)</v>
      </c>
    </row>
    <row r="161" spans="11:26" x14ac:dyDescent="0.25">
      <c r="K161" s="104"/>
      <c r="L161" s="104"/>
      <c r="M161" s="104"/>
      <c r="N161" s="104">
        <v>159</v>
      </c>
      <c r="O161" s="104" t="str">
        <f t="shared" si="8"/>
        <v/>
      </c>
      <c r="P161" s="104" t="str">
        <f t="shared" si="9"/>
        <v/>
      </c>
      <c r="Q161" s="104" t="str">
        <f>IFERROR(INDEX($M$3:M$350, $P161, COLUMNS($Q$3:Q508)),"")</f>
        <v/>
      </c>
      <c r="R161" s="104"/>
      <c r="S161" t="s">
        <v>644</v>
      </c>
      <c r="T161" s="101">
        <v>511319</v>
      </c>
      <c r="U161" t="s">
        <v>647</v>
      </c>
      <c r="V161">
        <v>159</v>
      </c>
      <c r="W161">
        <f t="shared" si="10"/>
        <v>159</v>
      </c>
      <c r="X161">
        <f t="shared" si="11"/>
        <v>159</v>
      </c>
      <c r="Y161" s="108">
        <f>IFERROR(INDEX($T$3:U$352, $X161, COLUMNS($Y$3:Y161)), "")</f>
        <v>511319</v>
      </c>
      <c r="Z161" s="108" t="str">
        <f>IFERROR(INDEX($T$3:V$352, $X161, COLUMNS($Y$3:Z161)), "")</f>
        <v>Jefferson Medical Center (Ranson)</v>
      </c>
    </row>
    <row r="162" spans="11:26" x14ac:dyDescent="0.25">
      <c r="K162" s="104"/>
      <c r="L162" s="104"/>
      <c r="M162" s="104"/>
      <c r="N162" s="104">
        <v>160</v>
      </c>
      <c r="O162" s="104" t="str">
        <f t="shared" si="8"/>
        <v/>
      </c>
      <c r="P162" s="104" t="str">
        <f t="shared" si="9"/>
        <v/>
      </c>
      <c r="Q162" s="104" t="str">
        <f>IFERROR(INDEX($M$3:M$350, $P162, COLUMNS($Q$3:Q509)),"")</f>
        <v/>
      </c>
      <c r="R162" s="104"/>
      <c r="S162" t="s">
        <v>644</v>
      </c>
      <c r="T162" s="101">
        <v>510001</v>
      </c>
      <c r="U162" t="s">
        <v>648</v>
      </c>
      <c r="V162">
        <v>160</v>
      </c>
      <c r="W162">
        <f t="shared" si="10"/>
        <v>160</v>
      </c>
      <c r="X162">
        <f t="shared" si="11"/>
        <v>160</v>
      </c>
      <c r="Y162" s="108">
        <f>IFERROR(INDEX($T$3:U$352, $X162, COLUMNS($Y$3:Y162)), "")</f>
        <v>510001</v>
      </c>
      <c r="Z162" s="108" t="str">
        <f>IFERROR(INDEX($T$3:V$352, $X162, COLUMNS($Y$3:Z162)), "")</f>
        <v>Ruby Memorial Hosptial (Morgantown); Chestnut Ridge Center (Morgantown); WVU Children's Hospital (Morgantown)</v>
      </c>
    </row>
    <row r="163" spans="11:26" x14ac:dyDescent="0.25">
      <c r="K163" s="104"/>
      <c r="L163" s="104"/>
      <c r="M163" s="104"/>
      <c r="N163" s="104">
        <v>161</v>
      </c>
      <c r="O163" s="104" t="str">
        <f t="shared" si="8"/>
        <v/>
      </c>
      <c r="P163" s="104" t="str">
        <f t="shared" si="9"/>
        <v/>
      </c>
      <c r="Q163" s="104" t="str">
        <f>IFERROR(INDEX($M$3:M$350, $P163, COLUMNS($Q$3:Q510)),"")</f>
        <v/>
      </c>
      <c r="R163" s="104"/>
      <c r="S163" t="s">
        <v>644</v>
      </c>
      <c r="T163" s="101">
        <v>510006</v>
      </c>
      <c r="U163" t="s">
        <v>649</v>
      </c>
      <c r="V163">
        <v>161</v>
      </c>
      <c r="W163">
        <f t="shared" si="10"/>
        <v>161</v>
      </c>
      <c r="X163">
        <f t="shared" si="11"/>
        <v>161</v>
      </c>
      <c r="Y163" s="108">
        <f>IFERROR(INDEX($T$3:U$352, $X163, COLUMNS($Y$3:Y163)), "")</f>
        <v>510006</v>
      </c>
      <c r="Z163" s="108" t="str">
        <f>IFERROR(INDEX($T$3:V$352, $X163, COLUMNS($Y$3:Z163)), "")</f>
        <v>United Hospital Center (Bridgeport)</v>
      </c>
    </row>
    <row r="164" spans="11:26" x14ac:dyDescent="0.25">
      <c r="K164" s="104"/>
      <c r="L164" s="104"/>
      <c r="M164" s="104"/>
      <c r="N164" s="104">
        <v>162</v>
      </c>
      <c r="O164" s="104" t="str">
        <f t="shared" si="8"/>
        <v/>
      </c>
      <c r="P164" s="104" t="str">
        <f t="shared" si="9"/>
        <v/>
      </c>
      <c r="Q164" s="104" t="str">
        <f>IFERROR(INDEX($M$3:M$350, $P164, COLUMNS($Q$3:Q511)),"")</f>
        <v/>
      </c>
      <c r="R164" s="104"/>
      <c r="S164" t="s">
        <v>650</v>
      </c>
      <c r="T164" s="101">
        <v>330234</v>
      </c>
      <c r="U164" t="s">
        <v>651</v>
      </c>
      <c r="V164">
        <v>162</v>
      </c>
      <c r="W164">
        <f t="shared" si="10"/>
        <v>162</v>
      </c>
      <c r="X164">
        <f t="shared" si="11"/>
        <v>162</v>
      </c>
      <c r="Y164" s="108">
        <f>IFERROR(INDEX($T$3:U$352, $X164, COLUMNS($Y$3:Y164)), "")</f>
        <v>330234</v>
      </c>
      <c r="Z164" s="108" t="str">
        <f>IFERROR(INDEX($T$3:V$352, $X164, COLUMNS($Y$3:Z164)), "")</f>
        <v>Westchester Medical Center (Valhalla)</v>
      </c>
    </row>
    <row r="165" spans="11:26" x14ac:dyDescent="0.25">
      <c r="K165" s="104"/>
      <c r="L165" s="104"/>
      <c r="M165" s="104"/>
      <c r="N165" s="104">
        <v>163</v>
      </c>
      <c r="O165" s="104" t="str">
        <f t="shared" si="8"/>
        <v/>
      </c>
      <c r="P165" s="104" t="str">
        <f t="shared" si="9"/>
        <v/>
      </c>
      <c r="Q165" s="104" t="str">
        <f>IFERROR(INDEX($M$3:M$350, $P165, COLUMNS($Q$3:Q512)),"")</f>
        <v/>
      </c>
      <c r="R165" s="104"/>
      <c r="S165" t="s">
        <v>650</v>
      </c>
      <c r="T165" s="101">
        <v>330067</v>
      </c>
      <c r="U165" t="s">
        <v>652</v>
      </c>
      <c r="V165">
        <v>163</v>
      </c>
      <c r="W165">
        <f t="shared" si="10"/>
        <v>163</v>
      </c>
      <c r="X165">
        <f t="shared" si="11"/>
        <v>163</v>
      </c>
      <c r="Y165" s="108">
        <f>IFERROR(INDEX($T$3:U$352, $X165, COLUMNS($Y$3:Y165)), "")</f>
        <v>330067</v>
      </c>
      <c r="Z165" s="108" t="str">
        <f>IFERROR(INDEX($T$3:V$352, $X165, COLUMNS($Y$3:Z165)), "")</f>
        <v>MidHudson Regional Hospital of Westchester Medical Center (Poughkeepsie)</v>
      </c>
    </row>
    <row r="166" spans="11:26" x14ac:dyDescent="0.25">
      <c r="K166" s="104"/>
      <c r="L166" s="104"/>
      <c r="M166" s="104"/>
      <c r="N166" s="104">
        <v>164</v>
      </c>
      <c r="O166" s="104" t="str">
        <f t="shared" si="8"/>
        <v/>
      </c>
      <c r="P166" s="104" t="str">
        <f t="shared" si="9"/>
        <v/>
      </c>
      <c r="Q166" s="104" t="str">
        <f>IFERROR(INDEX($M$3:M$350, $P166, COLUMNS($Q$3:Q513)),"")</f>
        <v/>
      </c>
      <c r="R166" s="104"/>
      <c r="V166">
        <v>164</v>
      </c>
      <c r="W166" t="str">
        <f t="shared" si="10"/>
        <v/>
      </c>
      <c r="X166" t="str">
        <f t="shared" si="11"/>
        <v/>
      </c>
      <c r="Y166" s="108" t="str">
        <f>IFERROR(INDEX($T$3:U$352, $X166, COLUMNS($Y$3:Y166)), "")</f>
        <v/>
      </c>
      <c r="Z166" s="108" t="str">
        <f>IFERROR(INDEX($T$3:V$352, $X166, COLUMNS($Y$3:Z166)), "")</f>
        <v/>
      </c>
    </row>
    <row r="167" spans="11:26" x14ac:dyDescent="0.25">
      <c r="K167" s="104"/>
      <c r="L167" s="104"/>
      <c r="M167" s="104"/>
      <c r="N167" s="104">
        <v>165</v>
      </c>
      <c r="O167" s="104" t="str">
        <f t="shared" si="8"/>
        <v/>
      </c>
      <c r="P167" s="104" t="str">
        <f t="shared" si="9"/>
        <v/>
      </c>
      <c r="Q167" s="104" t="str">
        <f>IFERROR(INDEX($M$3:M$350, $P167, COLUMNS($Q$3:Q514)),"")</f>
        <v/>
      </c>
      <c r="R167" s="104"/>
      <c r="V167">
        <v>165</v>
      </c>
      <c r="W167" t="str">
        <f t="shared" si="10"/>
        <v/>
      </c>
      <c r="X167" t="str">
        <f t="shared" si="11"/>
        <v/>
      </c>
      <c r="Y167" s="108" t="str">
        <f>IFERROR(INDEX($T$3:U$352, $X167, COLUMNS($Y$3:Y167)), "")</f>
        <v/>
      </c>
      <c r="Z167" s="108" t="str">
        <f>IFERROR(INDEX($T$3:V$352, $X167, COLUMNS($Y$3:Z167)), "")</f>
        <v/>
      </c>
    </row>
    <row r="168" spans="11:26" x14ac:dyDescent="0.25">
      <c r="K168" s="104"/>
      <c r="L168" s="104"/>
      <c r="M168" s="104"/>
      <c r="N168" s="104">
        <v>166</v>
      </c>
      <c r="O168" s="104" t="str">
        <f t="shared" si="8"/>
        <v/>
      </c>
      <c r="P168" s="104" t="str">
        <f t="shared" si="9"/>
        <v/>
      </c>
      <c r="Q168" s="104" t="str">
        <f>IFERROR(INDEX($M$3:M$350, $P168, COLUMNS($Q$3:Q515)),"")</f>
        <v/>
      </c>
      <c r="R168" s="104"/>
      <c r="V168">
        <v>166</v>
      </c>
      <c r="W168" t="str">
        <f t="shared" si="10"/>
        <v/>
      </c>
      <c r="X168" t="str">
        <f t="shared" si="11"/>
        <v/>
      </c>
      <c r="Y168" s="108" t="str">
        <f>IFERROR(INDEX($T$3:U$352, $X168, COLUMNS($Y$3:Y168)), "")</f>
        <v/>
      </c>
      <c r="Z168" s="108" t="str">
        <f>IFERROR(INDEX($T$3:V$352, $X168, COLUMNS($Y$3:Z168)), "")</f>
        <v/>
      </c>
    </row>
    <row r="169" spans="11:26" x14ac:dyDescent="0.25">
      <c r="K169" s="104"/>
      <c r="L169" s="104"/>
      <c r="M169" s="104"/>
      <c r="N169" s="104">
        <v>167</v>
      </c>
      <c r="O169" s="104" t="str">
        <f t="shared" si="8"/>
        <v/>
      </c>
      <c r="P169" s="104" t="str">
        <f t="shared" si="9"/>
        <v/>
      </c>
      <c r="Q169" s="104" t="str">
        <f>IFERROR(INDEX($M$3:M$350, $P169, COLUMNS($Q$3:Q516)),"")</f>
        <v/>
      </c>
      <c r="R169" s="104"/>
      <c r="V169">
        <v>167</v>
      </c>
      <c r="W169" t="str">
        <f t="shared" si="10"/>
        <v/>
      </c>
      <c r="X169" t="str">
        <f t="shared" si="11"/>
        <v/>
      </c>
      <c r="Y169" s="108" t="str">
        <f>IFERROR(INDEX($T$3:U$352, $X169, COLUMNS($Y$3:Y169)), "")</f>
        <v/>
      </c>
      <c r="Z169" s="108" t="str">
        <f>IFERROR(INDEX($T$3:V$352, $X169, COLUMNS($Y$3:Z169)), "")</f>
        <v/>
      </c>
    </row>
    <row r="170" spans="11:26" x14ac:dyDescent="0.25">
      <c r="K170" s="104"/>
      <c r="L170" s="104"/>
      <c r="M170" s="104"/>
      <c r="N170" s="104">
        <v>168</v>
      </c>
      <c r="O170" s="104" t="str">
        <f t="shared" si="8"/>
        <v/>
      </c>
      <c r="P170" s="104" t="str">
        <f t="shared" si="9"/>
        <v/>
      </c>
      <c r="Q170" s="104" t="str">
        <f>IFERROR(INDEX($M$3:M$350, $P170, COLUMNS($Q$3:Q517)),"")</f>
        <v/>
      </c>
      <c r="R170" s="104"/>
      <c r="V170">
        <v>168</v>
      </c>
      <c r="W170" t="str">
        <f t="shared" si="10"/>
        <v/>
      </c>
      <c r="X170" t="str">
        <f t="shared" si="11"/>
        <v/>
      </c>
      <c r="Y170" s="108" t="str">
        <f>IFERROR(INDEX($T$3:U$352, $X170, COLUMNS($Y$3:Y170)), "")</f>
        <v/>
      </c>
      <c r="Z170" s="108" t="str">
        <f>IFERROR(INDEX($T$3:V$352, $X170, COLUMNS($Y$3:Z170)), "")</f>
        <v/>
      </c>
    </row>
    <row r="171" spans="11:26" x14ac:dyDescent="0.25">
      <c r="K171" s="104"/>
      <c r="L171" s="104"/>
      <c r="M171" s="104"/>
      <c r="N171" s="104">
        <v>169</v>
      </c>
      <c r="O171" s="104" t="str">
        <f t="shared" si="8"/>
        <v/>
      </c>
      <c r="P171" s="104" t="str">
        <f t="shared" si="9"/>
        <v/>
      </c>
      <c r="Q171" s="104" t="str">
        <f>IFERROR(INDEX($M$3:M$350, $P171, COLUMNS($Q$3:Q518)),"")</f>
        <v/>
      </c>
      <c r="R171" s="104"/>
      <c r="V171">
        <v>169</v>
      </c>
      <c r="W171" t="str">
        <f t="shared" si="10"/>
        <v/>
      </c>
      <c r="X171" t="str">
        <f t="shared" si="11"/>
        <v/>
      </c>
      <c r="Y171" s="108" t="str">
        <f>IFERROR(INDEX($T$3:U$352, $X171, COLUMNS($Y$3:Y171)), "")</f>
        <v/>
      </c>
      <c r="Z171" s="108" t="str">
        <f>IFERROR(INDEX($T$3:V$352, $X171, COLUMNS($Y$3:Z171)), "")</f>
        <v/>
      </c>
    </row>
    <row r="172" spans="11:26" x14ac:dyDescent="0.25">
      <c r="K172" s="104"/>
      <c r="L172" s="104"/>
      <c r="M172" s="104"/>
      <c r="N172" s="104">
        <v>170</v>
      </c>
      <c r="O172" s="104" t="str">
        <f t="shared" si="8"/>
        <v/>
      </c>
      <c r="P172" s="104" t="str">
        <f t="shared" si="9"/>
        <v/>
      </c>
      <c r="Q172" s="104" t="str">
        <f>IFERROR(INDEX($M$3:M$350, $P172, COLUMNS($Q$3:Q519)),"")</f>
        <v/>
      </c>
      <c r="R172" s="104"/>
      <c r="V172">
        <v>170</v>
      </c>
      <c r="W172" t="str">
        <f t="shared" si="10"/>
        <v/>
      </c>
      <c r="X172" t="str">
        <f t="shared" si="11"/>
        <v/>
      </c>
      <c r="Y172" s="108" t="str">
        <f>IFERROR(INDEX($T$3:U$352, $X172, COLUMNS($Y$3:Y172)), "")</f>
        <v/>
      </c>
      <c r="Z172" s="108" t="str">
        <f>IFERROR(INDEX($T$3:V$352, $X172, COLUMNS($Y$3:Z172)), "")</f>
        <v/>
      </c>
    </row>
    <row r="173" spans="11:26" x14ac:dyDescent="0.25">
      <c r="K173" s="104"/>
      <c r="L173" s="104"/>
      <c r="M173" s="104"/>
      <c r="N173" s="104">
        <v>171</v>
      </c>
      <c r="O173" s="104" t="str">
        <f t="shared" si="8"/>
        <v/>
      </c>
      <c r="P173" s="104" t="str">
        <f t="shared" si="9"/>
        <v/>
      </c>
      <c r="Q173" s="104" t="str">
        <f>IFERROR(INDEX($M$3:M$350, $P173, COLUMNS($Q$3:Q520)),"")</f>
        <v/>
      </c>
      <c r="R173" s="104"/>
      <c r="V173">
        <v>171</v>
      </c>
      <c r="W173" t="str">
        <f t="shared" si="10"/>
        <v/>
      </c>
      <c r="X173" t="str">
        <f t="shared" si="11"/>
        <v/>
      </c>
      <c r="Y173" s="108" t="str">
        <f>IFERROR(INDEX($T$3:U$352, $X173, COLUMNS($Y$3:Y173)), "")</f>
        <v/>
      </c>
      <c r="Z173" s="108" t="str">
        <f>IFERROR(INDEX($T$3:V$352, $X173, COLUMNS($Y$3:Z173)), "")</f>
        <v/>
      </c>
    </row>
    <row r="174" spans="11:26" x14ac:dyDescent="0.25">
      <c r="K174" s="104"/>
      <c r="L174" s="104"/>
      <c r="M174" s="104"/>
      <c r="N174" s="104">
        <v>172</v>
      </c>
      <c r="O174" s="104" t="str">
        <f t="shared" si="8"/>
        <v/>
      </c>
      <c r="P174" s="104" t="str">
        <f t="shared" si="9"/>
        <v/>
      </c>
      <c r="Q174" s="104" t="str">
        <f>IFERROR(INDEX($M$3:M$350, $P174, COLUMNS($Q$3:Q521)),"")</f>
        <v/>
      </c>
      <c r="R174" s="104"/>
      <c r="V174">
        <v>172</v>
      </c>
      <c r="W174" t="str">
        <f t="shared" si="10"/>
        <v/>
      </c>
      <c r="X174" t="str">
        <f t="shared" si="11"/>
        <v/>
      </c>
      <c r="Y174" s="108" t="str">
        <f>IFERROR(INDEX($T$3:U$352, $X174, COLUMNS($Y$3:Y174)), "")</f>
        <v/>
      </c>
      <c r="Z174" s="108" t="str">
        <f>IFERROR(INDEX($T$3:V$352, $X174, COLUMNS($Y$3:Z174)), "")</f>
        <v/>
      </c>
    </row>
    <row r="175" spans="11:26" x14ac:dyDescent="0.25">
      <c r="K175" s="104"/>
      <c r="L175" s="104"/>
      <c r="M175" s="104"/>
      <c r="N175" s="104">
        <v>173</v>
      </c>
      <c r="O175" s="104" t="str">
        <f t="shared" si="8"/>
        <v/>
      </c>
      <c r="P175" s="104" t="str">
        <f t="shared" si="9"/>
        <v/>
      </c>
      <c r="Q175" s="104" t="str">
        <f>IFERROR(INDEX($M$3:M$350, $P175, COLUMNS($Q$3:Q522)),"")</f>
        <v/>
      </c>
      <c r="R175" s="104"/>
      <c r="V175">
        <v>173</v>
      </c>
      <c r="W175" t="str">
        <f t="shared" si="10"/>
        <v/>
      </c>
      <c r="X175" t="str">
        <f t="shared" si="11"/>
        <v/>
      </c>
      <c r="Y175" s="108" t="str">
        <f>IFERROR(INDEX($T$3:U$352, $X175, COLUMNS($Y$3:Y175)), "")</f>
        <v/>
      </c>
      <c r="Z175" s="108" t="str">
        <f>IFERROR(INDEX($T$3:V$352, $X175, COLUMNS($Y$3:Z175)), "")</f>
        <v/>
      </c>
    </row>
    <row r="176" spans="11:26" x14ac:dyDescent="0.25">
      <c r="K176" s="104"/>
      <c r="L176" s="104"/>
      <c r="M176" s="104"/>
      <c r="N176" s="104">
        <v>174</v>
      </c>
      <c r="O176" s="104" t="str">
        <f t="shared" si="8"/>
        <v/>
      </c>
      <c r="P176" s="104" t="str">
        <f t="shared" si="9"/>
        <v/>
      </c>
      <c r="Q176" s="104" t="str">
        <f>IFERROR(INDEX($M$3:M$350, $P176, COLUMNS($Q$3:Q523)),"")</f>
        <v/>
      </c>
      <c r="R176" s="104"/>
      <c r="V176">
        <v>174</v>
      </c>
      <c r="W176" t="str">
        <f t="shared" si="10"/>
        <v/>
      </c>
      <c r="X176" t="str">
        <f t="shared" si="11"/>
        <v/>
      </c>
      <c r="Y176" s="108" t="str">
        <f>IFERROR(INDEX($T$3:U$352, $X176, COLUMNS($Y$3:Y176)), "")</f>
        <v/>
      </c>
      <c r="Z176" s="108" t="str">
        <f>IFERROR(INDEX($T$3:V$352, $X176, COLUMNS($Y$3:Z176)), "")</f>
        <v/>
      </c>
    </row>
    <row r="177" spans="11:26" x14ac:dyDescent="0.25">
      <c r="K177" s="104"/>
      <c r="L177" s="104"/>
      <c r="M177" s="104"/>
      <c r="N177" s="104">
        <v>175</v>
      </c>
      <c r="O177" s="104" t="str">
        <f t="shared" si="8"/>
        <v/>
      </c>
      <c r="P177" s="104" t="str">
        <f t="shared" si="9"/>
        <v/>
      </c>
      <c r="Q177" s="104" t="str">
        <f>IFERROR(INDEX($M$3:M$350, $P177, COLUMNS($Q$3:Q524)),"")</f>
        <v/>
      </c>
      <c r="R177" s="104"/>
      <c r="V177">
        <v>175</v>
      </c>
      <c r="W177" t="str">
        <f t="shared" si="10"/>
        <v/>
      </c>
      <c r="X177" t="str">
        <f t="shared" si="11"/>
        <v/>
      </c>
      <c r="Y177" s="108" t="str">
        <f>IFERROR(INDEX($T$3:U$352, $X177, COLUMNS($Y$3:Y177)), "")</f>
        <v/>
      </c>
      <c r="Z177" s="108" t="str">
        <f>IFERROR(INDEX($T$3:V$352, $X177, COLUMNS($Y$3:Z177)), "")</f>
        <v/>
      </c>
    </row>
    <row r="178" spans="11:26" x14ac:dyDescent="0.25">
      <c r="K178" s="104"/>
      <c r="L178" s="104"/>
      <c r="M178" s="104"/>
      <c r="N178" s="104">
        <v>176</v>
      </c>
      <c r="O178" s="104" t="str">
        <f t="shared" si="8"/>
        <v/>
      </c>
      <c r="P178" s="104" t="str">
        <f t="shared" si="9"/>
        <v/>
      </c>
      <c r="Q178" s="104" t="str">
        <f>IFERROR(INDEX($M$3:M$350, $P178, COLUMNS($Q$3:Q525)),"")</f>
        <v/>
      </c>
      <c r="R178" s="104"/>
      <c r="V178">
        <v>176</v>
      </c>
      <c r="W178" t="str">
        <f t="shared" si="10"/>
        <v/>
      </c>
      <c r="X178" t="str">
        <f t="shared" si="11"/>
        <v/>
      </c>
      <c r="Y178" s="108" t="str">
        <f>IFERROR(INDEX($T$3:U$352, $X178, COLUMNS($Y$3:Y178)), "")</f>
        <v/>
      </c>
      <c r="Z178" s="108" t="str">
        <f>IFERROR(INDEX($T$3:V$352, $X178, COLUMNS($Y$3:Z178)), "")</f>
        <v/>
      </c>
    </row>
    <row r="179" spans="11:26" x14ac:dyDescent="0.25">
      <c r="K179" s="104"/>
      <c r="L179" s="104"/>
      <c r="M179" s="104"/>
      <c r="N179" s="104">
        <v>177</v>
      </c>
      <c r="O179" s="104" t="str">
        <f t="shared" si="8"/>
        <v/>
      </c>
      <c r="P179" s="104" t="str">
        <f t="shared" si="9"/>
        <v/>
      </c>
      <c r="Q179" s="104" t="str">
        <f>IFERROR(INDEX($M$3:M$350, $P179, COLUMNS($Q$3:Q526)),"")</f>
        <v/>
      </c>
      <c r="R179" s="104"/>
      <c r="V179">
        <v>177</v>
      </c>
      <c r="W179" t="str">
        <f t="shared" si="10"/>
        <v/>
      </c>
      <c r="X179" t="str">
        <f t="shared" si="11"/>
        <v/>
      </c>
      <c r="Y179" s="108" t="str">
        <f>IFERROR(INDEX($T$3:U$352, $X179, COLUMNS($Y$3:Y179)), "")</f>
        <v/>
      </c>
      <c r="Z179" s="108" t="str">
        <f>IFERROR(INDEX($T$3:V$352, $X179, COLUMNS($Y$3:Z179)), "")</f>
        <v/>
      </c>
    </row>
    <row r="180" spans="11:26" x14ac:dyDescent="0.25">
      <c r="K180" s="104"/>
      <c r="L180" s="104"/>
      <c r="M180" s="104"/>
      <c r="N180" s="104">
        <v>178</v>
      </c>
      <c r="O180" s="104" t="str">
        <f t="shared" si="8"/>
        <v/>
      </c>
      <c r="P180" s="104" t="str">
        <f t="shared" si="9"/>
        <v/>
      </c>
      <c r="Q180" s="104" t="str">
        <f>IFERROR(INDEX($M$3:M$350, $P180, COLUMNS($Q$3:Q527)),"")</f>
        <v/>
      </c>
      <c r="R180" s="104"/>
      <c r="V180">
        <v>178</v>
      </c>
      <c r="W180" t="str">
        <f t="shared" si="10"/>
        <v/>
      </c>
      <c r="X180" t="str">
        <f t="shared" si="11"/>
        <v/>
      </c>
      <c r="Y180" s="108" t="str">
        <f>IFERROR(INDEX($T$3:U$352, $X180, COLUMNS($Y$3:Y180)), "")</f>
        <v/>
      </c>
      <c r="Z180" s="108" t="str">
        <f>IFERROR(INDEX($T$3:V$352, $X180, COLUMNS($Y$3:Z180)), "")</f>
        <v/>
      </c>
    </row>
    <row r="181" spans="11:26" x14ac:dyDescent="0.25">
      <c r="K181" s="104"/>
      <c r="L181" s="104"/>
      <c r="M181" s="104"/>
      <c r="N181" s="104">
        <v>179</v>
      </c>
      <c r="O181" s="104" t="str">
        <f t="shared" si="8"/>
        <v/>
      </c>
      <c r="P181" s="104" t="str">
        <f t="shared" si="9"/>
        <v/>
      </c>
      <c r="Q181" s="104" t="str">
        <f>IFERROR(INDEX($M$3:M$350, $P181, COLUMNS($Q$3:Q528)),"")</f>
        <v/>
      </c>
      <c r="R181" s="104"/>
      <c r="V181">
        <v>179</v>
      </c>
      <c r="W181" t="str">
        <f t="shared" si="10"/>
        <v/>
      </c>
      <c r="X181" t="str">
        <f t="shared" si="11"/>
        <v/>
      </c>
      <c r="Y181" s="108" t="str">
        <f>IFERROR(INDEX($T$3:U$352, $X181, COLUMNS($Y$3:Y181)), "")</f>
        <v/>
      </c>
      <c r="Z181" s="108" t="str">
        <f>IFERROR(INDEX($T$3:V$352, $X181, COLUMNS($Y$3:Z181)), "")</f>
        <v/>
      </c>
    </row>
    <row r="182" spans="11:26" x14ac:dyDescent="0.25">
      <c r="K182" s="104"/>
      <c r="L182" s="104"/>
      <c r="M182" s="104"/>
      <c r="N182" s="104">
        <v>180</v>
      </c>
      <c r="O182" s="104" t="str">
        <f t="shared" si="8"/>
        <v/>
      </c>
      <c r="P182" s="104" t="str">
        <f t="shared" si="9"/>
        <v/>
      </c>
      <c r="Q182" s="104" t="str">
        <f>IFERROR(INDEX($M$3:M$350, $P182, COLUMNS($Q$3:Q529)),"")</f>
        <v/>
      </c>
      <c r="R182" s="104"/>
      <c r="V182">
        <v>180</v>
      </c>
      <c r="W182" t="str">
        <f t="shared" si="10"/>
        <v/>
      </c>
      <c r="X182" t="str">
        <f t="shared" si="11"/>
        <v/>
      </c>
      <c r="Y182" s="108" t="str">
        <f>IFERROR(INDEX($T$3:U$352, $X182, COLUMNS($Y$3:Y182)), "")</f>
        <v/>
      </c>
      <c r="Z182" s="108" t="str">
        <f>IFERROR(INDEX($T$3:V$352, $X182, COLUMNS($Y$3:Z182)), "")</f>
        <v/>
      </c>
    </row>
    <row r="183" spans="11:26" x14ac:dyDescent="0.25">
      <c r="K183" s="104"/>
      <c r="L183" s="104"/>
      <c r="M183" s="104"/>
      <c r="N183" s="104">
        <v>181</v>
      </c>
      <c r="O183" s="104" t="str">
        <f t="shared" si="8"/>
        <v/>
      </c>
      <c r="P183" s="104" t="str">
        <f t="shared" si="9"/>
        <v/>
      </c>
      <c r="Q183" s="104" t="str">
        <f>IFERROR(INDEX($M$3:M$350, $P183, COLUMNS($Q$3:Q530)),"")</f>
        <v/>
      </c>
      <c r="R183" s="104"/>
      <c r="V183">
        <v>181</v>
      </c>
      <c r="W183" t="str">
        <f t="shared" si="10"/>
        <v/>
      </c>
      <c r="X183" t="str">
        <f t="shared" si="11"/>
        <v/>
      </c>
      <c r="Y183" s="108" t="str">
        <f>IFERROR(INDEX($T$3:U$352, $X183, COLUMNS($Y$3:Y183)), "")</f>
        <v/>
      </c>
      <c r="Z183" s="108" t="str">
        <f>IFERROR(INDEX($T$3:V$352, $X183, COLUMNS($Y$3:Z183)), "")</f>
        <v/>
      </c>
    </row>
    <row r="184" spans="11:26" x14ac:dyDescent="0.25">
      <c r="K184" s="104"/>
      <c r="L184" s="104"/>
      <c r="M184" s="104"/>
      <c r="N184" s="104">
        <v>182</v>
      </c>
      <c r="O184" s="104" t="str">
        <f t="shared" si="8"/>
        <v/>
      </c>
      <c r="P184" s="104" t="str">
        <f t="shared" si="9"/>
        <v/>
      </c>
      <c r="Q184" s="104" t="str">
        <f>IFERROR(INDEX($M$3:M$350, $P184, COLUMNS($Q$3:Q531)),"")</f>
        <v/>
      </c>
      <c r="R184" s="104"/>
      <c r="V184">
        <v>182</v>
      </c>
      <c r="W184" t="str">
        <f t="shared" si="10"/>
        <v/>
      </c>
      <c r="X184" t="str">
        <f t="shared" si="11"/>
        <v/>
      </c>
      <c r="Y184" s="108" t="str">
        <f>IFERROR(INDEX($T$3:U$352, $X184, COLUMNS($Y$3:Y184)), "")</f>
        <v/>
      </c>
      <c r="Z184" s="108" t="str">
        <f>IFERROR(INDEX($T$3:V$352, $X184, COLUMNS($Y$3:Z184)), "")</f>
        <v/>
      </c>
    </row>
    <row r="185" spans="11:26" x14ac:dyDescent="0.25">
      <c r="K185" s="104"/>
      <c r="L185" s="104"/>
      <c r="M185" s="104"/>
      <c r="N185" s="104">
        <v>183</v>
      </c>
      <c r="O185" s="104" t="str">
        <f t="shared" si="8"/>
        <v/>
      </c>
      <c r="P185" s="104" t="str">
        <f t="shared" si="9"/>
        <v/>
      </c>
      <c r="Q185" s="104" t="str">
        <f>IFERROR(INDEX($M$3:M$350, $P185, COLUMNS($Q$3:Q532)),"")</f>
        <v/>
      </c>
      <c r="R185" s="104"/>
      <c r="V185">
        <v>183</v>
      </c>
      <c r="W185" t="str">
        <f t="shared" si="10"/>
        <v/>
      </c>
      <c r="X185" t="str">
        <f t="shared" si="11"/>
        <v/>
      </c>
      <c r="Y185" s="108" t="str">
        <f>IFERROR(INDEX($T$3:U$352, $X185, COLUMNS($Y$3:Y185)), "")</f>
        <v/>
      </c>
      <c r="Z185" s="108" t="str">
        <f>IFERROR(INDEX($T$3:V$352, $X185, COLUMNS($Y$3:Z185)), "")</f>
        <v/>
      </c>
    </row>
    <row r="186" spans="11:26" x14ac:dyDescent="0.25">
      <c r="K186" s="104"/>
      <c r="L186" s="104"/>
      <c r="M186" s="104"/>
      <c r="N186" s="104">
        <v>184</v>
      </c>
      <c r="O186" s="104" t="str">
        <f t="shared" si="8"/>
        <v/>
      </c>
      <c r="P186" s="104" t="str">
        <f t="shared" si="9"/>
        <v/>
      </c>
      <c r="Q186" s="104" t="str">
        <f>IFERROR(INDEX($M$3:M$350, $P186, COLUMNS($Q$3:Q533)),"")</f>
        <v/>
      </c>
      <c r="R186" s="104"/>
      <c r="V186">
        <v>184</v>
      </c>
      <c r="W186" t="str">
        <f t="shared" si="10"/>
        <v/>
      </c>
      <c r="X186" t="str">
        <f t="shared" si="11"/>
        <v/>
      </c>
      <c r="Y186" s="108" t="str">
        <f>IFERROR(INDEX($T$3:U$352, $X186, COLUMNS($Y$3:Y186)), "")</f>
        <v/>
      </c>
      <c r="Z186" s="108" t="str">
        <f>IFERROR(INDEX($T$3:V$352, $X186, COLUMNS($Y$3:Z186)), "")</f>
        <v/>
      </c>
    </row>
    <row r="187" spans="11:26" x14ac:dyDescent="0.25">
      <c r="K187" s="104"/>
      <c r="L187" s="104"/>
      <c r="M187" s="104"/>
      <c r="N187" s="104">
        <v>185</v>
      </c>
      <c r="O187" s="104" t="str">
        <f t="shared" si="8"/>
        <v/>
      </c>
      <c r="P187" s="104" t="str">
        <f t="shared" si="9"/>
        <v/>
      </c>
      <c r="Q187" s="104" t="str">
        <f>IFERROR(INDEX($M$3:M$350, $P187, COLUMNS($Q$3:Q534)),"")</f>
        <v/>
      </c>
      <c r="R187" s="104"/>
      <c r="V187">
        <v>185</v>
      </c>
      <c r="W187" t="str">
        <f t="shared" si="10"/>
        <v/>
      </c>
      <c r="X187" t="str">
        <f t="shared" si="11"/>
        <v/>
      </c>
      <c r="Y187" s="108" t="str">
        <f>IFERROR(INDEX($T$3:U$352, $X187, COLUMNS($Y$3:Y187)), "")</f>
        <v/>
      </c>
      <c r="Z187" s="108" t="str">
        <f>IFERROR(INDEX($T$3:V$352, $X187, COLUMNS($Y$3:Z187)), "")</f>
        <v/>
      </c>
    </row>
    <row r="188" spans="11:26" x14ac:dyDescent="0.25">
      <c r="K188" s="104"/>
      <c r="L188" s="104"/>
      <c r="M188" s="104"/>
      <c r="N188" s="104">
        <v>186</v>
      </c>
      <c r="O188" s="104" t="str">
        <f t="shared" si="8"/>
        <v/>
      </c>
      <c r="P188" s="104" t="str">
        <f t="shared" si="9"/>
        <v/>
      </c>
      <c r="Q188" s="104" t="str">
        <f>IFERROR(INDEX($M$3:M$350, $P188, COLUMNS($Q$3:Q535)),"")</f>
        <v/>
      </c>
      <c r="R188" s="104"/>
      <c r="V188">
        <v>186</v>
      </c>
      <c r="W188" t="str">
        <f t="shared" si="10"/>
        <v/>
      </c>
      <c r="X188" t="str">
        <f t="shared" si="11"/>
        <v/>
      </c>
      <c r="Y188" s="108" t="str">
        <f>IFERROR(INDEX($T$3:U$352, $X188, COLUMNS($Y$3:Y188)), "")</f>
        <v/>
      </c>
      <c r="Z188" s="108" t="str">
        <f>IFERROR(INDEX($T$3:V$352, $X188, COLUMNS($Y$3:Z188)), "")</f>
        <v/>
      </c>
    </row>
    <row r="189" spans="11:26" x14ac:dyDescent="0.25">
      <c r="K189" s="104"/>
      <c r="L189" s="104"/>
      <c r="M189" s="104"/>
      <c r="N189" s="104">
        <v>187</v>
      </c>
      <c r="O189" s="104" t="str">
        <f t="shared" si="8"/>
        <v/>
      </c>
      <c r="P189" s="104" t="str">
        <f t="shared" si="9"/>
        <v/>
      </c>
      <c r="Q189" s="104" t="str">
        <f>IFERROR(INDEX($M$3:M$350, $P189, COLUMNS($Q$3:Q536)),"")</f>
        <v/>
      </c>
      <c r="R189" s="104"/>
      <c r="V189">
        <v>187</v>
      </c>
      <c r="W189" t="str">
        <f t="shared" si="10"/>
        <v/>
      </c>
      <c r="X189" t="str">
        <f t="shared" si="11"/>
        <v/>
      </c>
      <c r="Y189" s="108" t="str">
        <f>IFERROR(INDEX($T$3:U$352, $X189, COLUMNS($Y$3:Y189)), "")</f>
        <v/>
      </c>
      <c r="Z189" s="108" t="str">
        <f>IFERROR(INDEX($T$3:V$352, $X189, COLUMNS($Y$3:Z189)), "")</f>
        <v/>
      </c>
    </row>
    <row r="190" spans="11:26" x14ac:dyDescent="0.25">
      <c r="K190" s="104"/>
      <c r="L190" s="104"/>
      <c r="M190" s="104"/>
      <c r="N190" s="104">
        <v>188</v>
      </c>
      <c r="O190" s="104" t="str">
        <f t="shared" si="8"/>
        <v/>
      </c>
      <c r="P190" s="104" t="str">
        <f t="shared" si="9"/>
        <v/>
      </c>
      <c r="Q190" s="104" t="str">
        <f>IFERROR(INDEX($M$3:M$350, $P190, COLUMNS($Q$3:Q537)),"")</f>
        <v/>
      </c>
      <c r="R190" s="104"/>
      <c r="V190">
        <v>188</v>
      </c>
      <c r="W190" t="str">
        <f t="shared" si="10"/>
        <v/>
      </c>
      <c r="X190" t="str">
        <f t="shared" si="11"/>
        <v/>
      </c>
      <c r="Y190" s="108" t="str">
        <f>IFERROR(INDEX($T$3:U$352, $X190, COLUMNS($Y$3:Y190)), "")</f>
        <v/>
      </c>
      <c r="Z190" s="108" t="str">
        <f>IFERROR(INDEX($T$3:V$352, $X190, COLUMNS($Y$3:Z190)), "")</f>
        <v/>
      </c>
    </row>
    <row r="191" spans="11:26" x14ac:dyDescent="0.25">
      <c r="K191" s="104"/>
      <c r="L191" s="104"/>
      <c r="M191" s="104"/>
      <c r="N191" s="104">
        <v>189</v>
      </c>
      <c r="O191" s="104" t="str">
        <f t="shared" si="8"/>
        <v/>
      </c>
      <c r="P191" s="104" t="str">
        <f t="shared" si="9"/>
        <v/>
      </c>
      <c r="Q191" s="104" t="str">
        <f>IFERROR(INDEX($M$3:M$350, $P191, COLUMNS($Q$3:Q538)),"")</f>
        <v/>
      </c>
      <c r="R191" s="104"/>
      <c r="V191">
        <v>189</v>
      </c>
      <c r="W191" t="str">
        <f t="shared" si="10"/>
        <v/>
      </c>
      <c r="X191" t="str">
        <f t="shared" si="11"/>
        <v/>
      </c>
      <c r="Y191" s="108" t="str">
        <f>IFERROR(INDEX($T$3:U$352, $X191, COLUMNS($Y$3:Y191)), "")</f>
        <v/>
      </c>
      <c r="Z191" s="108" t="str">
        <f>IFERROR(INDEX($T$3:V$352, $X191, COLUMNS($Y$3:Z191)), "")</f>
        <v/>
      </c>
    </row>
    <row r="192" spans="11:26" x14ac:dyDescent="0.25">
      <c r="K192" s="104"/>
      <c r="L192" s="104"/>
      <c r="M192" s="104"/>
      <c r="N192" s="104">
        <v>190</v>
      </c>
      <c r="O192" s="104" t="str">
        <f t="shared" si="8"/>
        <v/>
      </c>
      <c r="P192" s="104" t="str">
        <f t="shared" si="9"/>
        <v/>
      </c>
      <c r="Q192" s="104" t="str">
        <f>IFERROR(INDEX($M$3:M$350, $P192, COLUMNS($Q$3:Q539)),"")</f>
        <v/>
      </c>
      <c r="R192" s="104"/>
      <c r="V192">
        <v>190</v>
      </c>
      <c r="W192" t="str">
        <f t="shared" si="10"/>
        <v/>
      </c>
      <c r="X192" t="str">
        <f t="shared" si="11"/>
        <v/>
      </c>
      <c r="Y192" s="108" t="str">
        <f>IFERROR(INDEX($T$3:U$352, $X192, COLUMNS($Y$3:Y192)), "")</f>
        <v/>
      </c>
      <c r="Z192" s="108" t="str">
        <f>IFERROR(INDEX($T$3:V$352, $X192, COLUMNS($Y$3:Z192)), "")</f>
        <v/>
      </c>
    </row>
    <row r="193" spans="11:26" x14ac:dyDescent="0.25">
      <c r="K193" s="104"/>
      <c r="L193" s="104"/>
      <c r="M193" s="104"/>
      <c r="N193" s="104">
        <v>191</v>
      </c>
      <c r="O193" s="104" t="str">
        <f t="shared" si="8"/>
        <v/>
      </c>
      <c r="P193" s="104" t="str">
        <f t="shared" si="9"/>
        <v/>
      </c>
      <c r="Q193" s="104" t="str">
        <f>IFERROR(INDEX($M$3:M$350, $P193, COLUMNS($Q$3:Q540)),"")</f>
        <v/>
      </c>
      <c r="R193" s="104"/>
      <c r="V193">
        <v>191</v>
      </c>
      <c r="W193" t="str">
        <f t="shared" si="10"/>
        <v/>
      </c>
      <c r="X193" t="str">
        <f t="shared" si="11"/>
        <v/>
      </c>
      <c r="Y193" s="108" t="str">
        <f>IFERROR(INDEX($T$3:U$352, $X193, COLUMNS($Y$3:Y193)), "")</f>
        <v/>
      </c>
      <c r="Z193" s="108" t="str">
        <f>IFERROR(INDEX($T$3:V$352, $X193, COLUMNS($Y$3:Z193)), "")</f>
        <v/>
      </c>
    </row>
    <row r="194" spans="11:26" x14ac:dyDescent="0.25">
      <c r="K194" s="104"/>
      <c r="L194" s="104"/>
      <c r="M194" s="104"/>
      <c r="N194" s="104">
        <v>192</v>
      </c>
      <c r="O194" s="104" t="str">
        <f t="shared" si="8"/>
        <v/>
      </c>
      <c r="P194" s="104" t="str">
        <f t="shared" si="9"/>
        <v/>
      </c>
      <c r="Q194" s="104" t="str">
        <f>IFERROR(INDEX($M$3:M$350, $P194, COLUMNS($Q$3:Q541)),"")</f>
        <v/>
      </c>
      <c r="R194" s="104"/>
      <c r="V194">
        <v>192</v>
      </c>
      <c r="W194" t="str">
        <f t="shared" si="10"/>
        <v/>
      </c>
      <c r="X194" t="str">
        <f t="shared" si="11"/>
        <v/>
      </c>
      <c r="Y194" s="108" t="str">
        <f>IFERROR(INDEX($T$3:U$352, $X194, COLUMNS($Y$3:Y194)), "")</f>
        <v/>
      </c>
      <c r="Z194" s="108" t="str">
        <f>IFERROR(INDEX($T$3:V$352, $X194, COLUMNS($Y$3:Z194)), "")</f>
        <v/>
      </c>
    </row>
    <row r="195" spans="11:26" x14ac:dyDescent="0.25">
      <c r="K195" s="104"/>
      <c r="L195" s="104"/>
      <c r="M195" s="104"/>
      <c r="N195" s="104">
        <v>193</v>
      </c>
      <c r="O195" s="104" t="str">
        <f t="shared" si="8"/>
        <v/>
      </c>
      <c r="P195" s="104" t="str">
        <f t="shared" si="9"/>
        <v/>
      </c>
      <c r="Q195" s="104" t="str">
        <f>IFERROR(INDEX($M$3:M$350, $P195, COLUMNS($Q$3:Q542)),"")</f>
        <v/>
      </c>
      <c r="R195" s="104"/>
      <c r="V195">
        <v>193</v>
      </c>
      <c r="W195" t="str">
        <f t="shared" si="10"/>
        <v/>
      </c>
      <c r="X195" t="str">
        <f t="shared" si="11"/>
        <v/>
      </c>
      <c r="Y195" s="108" t="str">
        <f>IFERROR(INDEX($T$3:U$352, $X195, COLUMNS($Y$3:Y195)), "")</f>
        <v/>
      </c>
      <c r="Z195" s="108" t="str">
        <f>IFERROR(INDEX($T$3:V$352, $X195, COLUMNS($Y$3:Z195)), "")</f>
        <v/>
      </c>
    </row>
    <row r="196" spans="11:26" x14ac:dyDescent="0.25">
      <c r="K196" s="104"/>
      <c r="L196" s="104"/>
      <c r="M196" s="104"/>
      <c r="N196" s="104">
        <v>194</v>
      </c>
      <c r="O196" s="104" t="str">
        <f t="shared" ref="O196:O259" si="12">IF(ISNUMBER(SEARCH($K$4, L196)), N196, "")</f>
        <v/>
      </c>
      <c r="P196" s="104" t="str">
        <f t="shared" ref="P196:P259" si="13">IFERROR(SMALL($O$3:$O$352, N196), "")</f>
        <v/>
      </c>
      <c r="Q196" s="104" t="str">
        <f>IFERROR(INDEX($M$3:M$350, $P196, COLUMNS($Q$3:Q543)),"")</f>
        <v/>
      </c>
      <c r="R196" s="104"/>
      <c r="V196">
        <v>194</v>
      </c>
      <c r="W196" t="str">
        <f t="shared" ref="W196:W259" si="14">IF(ISNUMBER(SEARCH($R$3, S196)), V196, "")</f>
        <v/>
      </c>
      <c r="X196" t="str">
        <f t="shared" si="11"/>
        <v/>
      </c>
      <c r="Y196" s="108" t="str">
        <f>IFERROR(INDEX($T$3:U$352, $X196, COLUMNS($Y$3:Y196)), "")</f>
        <v/>
      </c>
      <c r="Z196" s="108" t="str">
        <f>IFERROR(INDEX($T$3:V$352, $X196, COLUMNS($Y$3:Z196)), "")</f>
        <v/>
      </c>
    </row>
    <row r="197" spans="11:26" x14ac:dyDescent="0.25">
      <c r="K197" s="104"/>
      <c r="L197" s="104"/>
      <c r="M197" s="104"/>
      <c r="N197" s="104">
        <v>195</v>
      </c>
      <c r="O197" s="104" t="str">
        <f t="shared" si="12"/>
        <v/>
      </c>
      <c r="P197" s="104" t="str">
        <f t="shared" si="13"/>
        <v/>
      </c>
      <c r="Q197" s="104" t="str">
        <f>IFERROR(INDEX($M$3:M$350, $P197, COLUMNS($Q$3:Q544)),"")</f>
        <v/>
      </c>
      <c r="R197" s="104"/>
      <c r="V197">
        <v>195</v>
      </c>
      <c r="W197" t="str">
        <f t="shared" si="14"/>
        <v/>
      </c>
      <c r="X197" t="str">
        <f t="shared" ref="X197:X260" si="15">IFERROR(SMALL($W$3:$W$165, V197), "")</f>
        <v/>
      </c>
      <c r="Y197" s="108" t="str">
        <f>IFERROR(INDEX($T$3:U$352, $X197, COLUMNS($Y$3:Y197)), "")</f>
        <v/>
      </c>
      <c r="Z197" s="108" t="str">
        <f>IFERROR(INDEX($T$3:V$352, $X197, COLUMNS($Y$3:Z197)), "")</f>
        <v/>
      </c>
    </row>
    <row r="198" spans="11:26" x14ac:dyDescent="0.25">
      <c r="K198" s="104"/>
      <c r="L198" s="104"/>
      <c r="M198" s="104"/>
      <c r="N198" s="104">
        <v>196</v>
      </c>
      <c r="O198" s="104" t="str">
        <f t="shared" si="12"/>
        <v/>
      </c>
      <c r="P198" s="104" t="str">
        <f t="shared" si="13"/>
        <v/>
      </c>
      <c r="Q198" s="104" t="str">
        <f>IFERROR(INDEX($M$3:M$350, $P198, COLUMNS($Q$3:Q545)),"")</f>
        <v/>
      </c>
      <c r="R198" s="104"/>
      <c r="V198">
        <v>196</v>
      </c>
      <c r="W198" t="str">
        <f t="shared" si="14"/>
        <v/>
      </c>
      <c r="X198" t="str">
        <f t="shared" si="15"/>
        <v/>
      </c>
      <c r="Y198" s="108" t="str">
        <f>IFERROR(INDEX($T$3:U$352, $X198, COLUMNS($Y$3:Y198)), "")</f>
        <v/>
      </c>
      <c r="Z198" s="108" t="str">
        <f>IFERROR(INDEX($T$3:V$352, $X198, COLUMNS($Y$3:Z198)), "")</f>
        <v/>
      </c>
    </row>
    <row r="199" spans="11:26" x14ac:dyDescent="0.25">
      <c r="K199" s="104"/>
      <c r="L199" s="104"/>
      <c r="M199" s="104"/>
      <c r="N199" s="104">
        <v>197</v>
      </c>
      <c r="O199" s="104" t="str">
        <f t="shared" si="12"/>
        <v/>
      </c>
      <c r="P199" s="104" t="str">
        <f t="shared" si="13"/>
        <v/>
      </c>
      <c r="Q199" s="104" t="str">
        <f>IFERROR(INDEX($M$3:M$350, $P199, COLUMNS($Q$3:Q546)),"")</f>
        <v/>
      </c>
      <c r="R199" s="104"/>
      <c r="V199">
        <v>197</v>
      </c>
      <c r="W199" t="str">
        <f t="shared" si="14"/>
        <v/>
      </c>
      <c r="X199" t="str">
        <f t="shared" si="15"/>
        <v/>
      </c>
      <c r="Y199" s="108" t="str">
        <f>IFERROR(INDEX($T$3:U$352, $X199, COLUMNS($Y$3:Y199)), "")</f>
        <v/>
      </c>
      <c r="Z199" s="108" t="str">
        <f>IFERROR(INDEX($T$3:V$352, $X199, COLUMNS($Y$3:Z199)), "")</f>
        <v/>
      </c>
    </row>
    <row r="200" spans="11:26" x14ac:dyDescent="0.25">
      <c r="K200" s="104"/>
      <c r="L200" s="104"/>
      <c r="M200" s="104"/>
      <c r="N200" s="104">
        <v>198</v>
      </c>
      <c r="O200" s="104" t="str">
        <f t="shared" si="12"/>
        <v/>
      </c>
      <c r="P200" s="104" t="str">
        <f t="shared" si="13"/>
        <v/>
      </c>
      <c r="Q200" s="104" t="str">
        <f>IFERROR(INDEX($M$3:M$350, $P200, COLUMNS($Q$3:Q547)),"")</f>
        <v/>
      </c>
      <c r="R200" s="104"/>
      <c r="V200">
        <v>198</v>
      </c>
      <c r="W200" t="str">
        <f t="shared" si="14"/>
        <v/>
      </c>
      <c r="X200" t="str">
        <f t="shared" si="15"/>
        <v/>
      </c>
      <c r="Y200" s="108" t="str">
        <f>IFERROR(INDEX($T$3:U$352, $X200, COLUMNS($Y$3:Y200)), "")</f>
        <v/>
      </c>
      <c r="Z200" s="108" t="str">
        <f>IFERROR(INDEX($T$3:V$352, $X200, COLUMNS($Y$3:Z200)), "")</f>
        <v/>
      </c>
    </row>
    <row r="201" spans="11:26" x14ac:dyDescent="0.25">
      <c r="K201" s="104"/>
      <c r="L201" s="104"/>
      <c r="M201" s="104"/>
      <c r="N201" s="104">
        <v>199</v>
      </c>
      <c r="O201" s="104" t="str">
        <f t="shared" si="12"/>
        <v/>
      </c>
      <c r="P201" s="104" t="str">
        <f t="shared" si="13"/>
        <v/>
      </c>
      <c r="Q201" s="104" t="str">
        <f>IFERROR(INDEX($M$3:M$350, $P201, COLUMNS($Q$3:Q548)),"")</f>
        <v/>
      </c>
      <c r="R201" s="104"/>
      <c r="V201">
        <v>199</v>
      </c>
      <c r="W201" t="str">
        <f t="shared" si="14"/>
        <v/>
      </c>
      <c r="X201" t="str">
        <f t="shared" si="15"/>
        <v/>
      </c>
      <c r="Y201" s="108" t="str">
        <f>IFERROR(INDEX($T$3:U$352, $X201, COLUMNS($Y$3:Y201)), "")</f>
        <v/>
      </c>
      <c r="Z201" s="108" t="str">
        <f>IFERROR(INDEX($T$3:V$352, $X201, COLUMNS($Y$3:Z201)), "")</f>
        <v/>
      </c>
    </row>
    <row r="202" spans="11:26" x14ac:dyDescent="0.25">
      <c r="K202" s="104"/>
      <c r="L202" s="104"/>
      <c r="M202" s="104"/>
      <c r="N202" s="104">
        <v>200</v>
      </c>
      <c r="O202" s="104" t="str">
        <f t="shared" si="12"/>
        <v/>
      </c>
      <c r="P202" s="104" t="str">
        <f t="shared" si="13"/>
        <v/>
      </c>
      <c r="Q202" s="104" t="str">
        <f>IFERROR(INDEX($M$3:M$350, $P202, COLUMNS($Q$3:Q549)),"")</f>
        <v/>
      </c>
      <c r="R202" s="104"/>
      <c r="V202">
        <v>200</v>
      </c>
      <c r="W202" t="str">
        <f t="shared" si="14"/>
        <v/>
      </c>
      <c r="X202" t="str">
        <f t="shared" si="15"/>
        <v/>
      </c>
      <c r="Y202" s="108" t="str">
        <f>IFERROR(INDEX($T$3:U$352, $X202, COLUMNS($Y$3:Y202)), "")</f>
        <v/>
      </c>
      <c r="Z202" s="108" t="str">
        <f>IFERROR(INDEX($T$3:V$352, $X202, COLUMNS($Y$3:Z202)), "")</f>
        <v/>
      </c>
    </row>
    <row r="203" spans="11:26" x14ac:dyDescent="0.25">
      <c r="K203" s="104"/>
      <c r="L203" s="104"/>
      <c r="M203" s="104"/>
      <c r="N203" s="104">
        <v>201</v>
      </c>
      <c r="O203" s="104" t="str">
        <f t="shared" si="12"/>
        <v/>
      </c>
      <c r="P203" s="104" t="str">
        <f t="shared" si="13"/>
        <v/>
      </c>
      <c r="Q203" s="104" t="str">
        <f>IFERROR(INDEX($M$3:M$350, $P203, COLUMNS($Q$3:Q550)),"")</f>
        <v/>
      </c>
      <c r="R203" s="104"/>
      <c r="V203">
        <v>201</v>
      </c>
      <c r="W203" t="str">
        <f t="shared" si="14"/>
        <v/>
      </c>
      <c r="X203" t="str">
        <f t="shared" si="15"/>
        <v/>
      </c>
      <c r="Y203" s="108" t="str">
        <f>IFERROR(INDEX($T$3:U$352, $X203, COLUMNS($Y$3:Y203)), "")</f>
        <v/>
      </c>
      <c r="Z203" s="108" t="str">
        <f>IFERROR(INDEX($T$3:V$352, $X203, COLUMNS($Y$3:Z203)), "")</f>
        <v/>
      </c>
    </row>
    <row r="204" spans="11:26" x14ac:dyDescent="0.25">
      <c r="K204" s="104"/>
      <c r="L204" s="104"/>
      <c r="M204" s="104"/>
      <c r="N204" s="104">
        <v>202</v>
      </c>
      <c r="O204" s="104" t="str">
        <f t="shared" si="12"/>
        <v/>
      </c>
      <c r="P204" s="104" t="str">
        <f t="shared" si="13"/>
        <v/>
      </c>
      <c r="Q204" s="104" t="str">
        <f>IFERROR(INDEX($M$3:M$350, $P204, COLUMNS($Q$3:Q551)),"")</f>
        <v/>
      </c>
      <c r="R204" s="104"/>
      <c r="V204">
        <v>202</v>
      </c>
      <c r="W204" t="str">
        <f t="shared" si="14"/>
        <v/>
      </c>
      <c r="X204" t="str">
        <f t="shared" si="15"/>
        <v/>
      </c>
      <c r="Y204" s="108" t="str">
        <f>IFERROR(INDEX($T$3:U$352, $X204, COLUMNS($Y$3:Y204)), "")</f>
        <v/>
      </c>
      <c r="Z204" s="108" t="str">
        <f>IFERROR(INDEX($T$3:V$352, $X204, COLUMNS($Y$3:Z204)), "")</f>
        <v/>
      </c>
    </row>
    <row r="205" spans="11:26" x14ac:dyDescent="0.25">
      <c r="K205" s="104"/>
      <c r="L205" s="104"/>
      <c r="M205" s="104"/>
      <c r="N205" s="104">
        <v>203</v>
      </c>
      <c r="O205" s="104" t="str">
        <f t="shared" si="12"/>
        <v/>
      </c>
      <c r="P205" s="104" t="str">
        <f t="shared" si="13"/>
        <v/>
      </c>
      <c r="Q205" s="104" t="str">
        <f>IFERROR(INDEX($M$3:M$350, $P205, COLUMNS($Q$3:Q552)),"")</f>
        <v/>
      </c>
      <c r="R205" s="104"/>
      <c r="V205">
        <v>203</v>
      </c>
      <c r="W205" t="str">
        <f t="shared" si="14"/>
        <v/>
      </c>
      <c r="X205" t="str">
        <f t="shared" si="15"/>
        <v/>
      </c>
      <c r="Y205" s="108" t="str">
        <f>IFERROR(INDEX($T$3:U$352, $X205, COLUMNS($Y$3:Y205)), "")</f>
        <v/>
      </c>
      <c r="Z205" s="108" t="str">
        <f>IFERROR(INDEX($T$3:V$352, $X205, COLUMNS($Y$3:Z205)), "")</f>
        <v/>
      </c>
    </row>
    <row r="206" spans="11:26" x14ac:dyDescent="0.25">
      <c r="K206" s="104"/>
      <c r="L206" s="104"/>
      <c r="M206" s="104"/>
      <c r="N206" s="104">
        <v>204</v>
      </c>
      <c r="O206" s="104" t="str">
        <f t="shared" si="12"/>
        <v/>
      </c>
      <c r="P206" s="104" t="str">
        <f t="shared" si="13"/>
        <v/>
      </c>
      <c r="Q206" s="104" t="str">
        <f>IFERROR(INDEX($M$3:M$350, $P206, COLUMNS($Q$3:Q553)),"")</f>
        <v/>
      </c>
      <c r="R206" s="104"/>
      <c r="V206">
        <v>204</v>
      </c>
      <c r="W206" t="str">
        <f t="shared" si="14"/>
        <v/>
      </c>
      <c r="X206" t="str">
        <f t="shared" si="15"/>
        <v/>
      </c>
      <c r="Y206" s="108" t="str">
        <f>IFERROR(INDEX($T$3:U$352, $X206, COLUMNS($Y$3:Y206)), "")</f>
        <v/>
      </c>
      <c r="Z206" s="108" t="str">
        <f>IFERROR(INDEX($T$3:V$352, $X206, COLUMNS($Y$3:Z206)), "")</f>
        <v/>
      </c>
    </row>
    <row r="207" spans="11:26" x14ac:dyDescent="0.25">
      <c r="K207" s="104"/>
      <c r="L207" s="104"/>
      <c r="M207" s="104"/>
      <c r="N207" s="104">
        <v>205</v>
      </c>
      <c r="O207" s="104" t="str">
        <f t="shared" si="12"/>
        <v/>
      </c>
      <c r="P207" s="104" t="str">
        <f t="shared" si="13"/>
        <v/>
      </c>
      <c r="Q207" s="104" t="str">
        <f>IFERROR(INDEX($M$3:M$350, $P207, COLUMNS($Q$3:Q554)),"")</f>
        <v/>
      </c>
      <c r="R207" s="104"/>
      <c r="V207">
        <v>205</v>
      </c>
      <c r="W207" t="str">
        <f t="shared" si="14"/>
        <v/>
      </c>
      <c r="X207" t="str">
        <f t="shared" si="15"/>
        <v/>
      </c>
      <c r="Y207" s="108" t="str">
        <f>IFERROR(INDEX($T$3:U$352, $X207, COLUMNS($Y$3:Y207)), "")</f>
        <v/>
      </c>
      <c r="Z207" s="108" t="str">
        <f>IFERROR(INDEX($T$3:V$352, $X207, COLUMNS($Y$3:Z207)), "")</f>
        <v/>
      </c>
    </row>
    <row r="208" spans="11:26" x14ac:dyDescent="0.25">
      <c r="K208" s="104"/>
      <c r="L208" s="104"/>
      <c r="M208" s="104"/>
      <c r="N208" s="104">
        <v>206</v>
      </c>
      <c r="O208" s="104" t="str">
        <f t="shared" si="12"/>
        <v/>
      </c>
      <c r="P208" s="104" t="str">
        <f t="shared" si="13"/>
        <v/>
      </c>
      <c r="Q208" s="104" t="str">
        <f>IFERROR(INDEX($M$3:M$350, $P208, COLUMNS($Q$3:Q555)),"")</f>
        <v/>
      </c>
      <c r="R208" s="104"/>
      <c r="V208">
        <v>206</v>
      </c>
      <c r="W208" t="str">
        <f t="shared" si="14"/>
        <v/>
      </c>
      <c r="X208" t="str">
        <f t="shared" si="15"/>
        <v/>
      </c>
      <c r="Y208" s="108" t="str">
        <f>IFERROR(INDEX($T$3:U$352, $X208, COLUMNS($Y$3:Y208)), "")</f>
        <v/>
      </c>
      <c r="Z208" s="108" t="str">
        <f>IFERROR(INDEX($T$3:V$352, $X208, COLUMNS($Y$3:Z208)), "")</f>
        <v/>
      </c>
    </row>
    <row r="209" spans="11:26" x14ac:dyDescent="0.25">
      <c r="K209" s="104"/>
      <c r="L209" s="104"/>
      <c r="M209" s="104"/>
      <c r="N209" s="104">
        <v>207</v>
      </c>
      <c r="O209" s="104" t="str">
        <f t="shared" si="12"/>
        <v/>
      </c>
      <c r="P209" s="104" t="str">
        <f t="shared" si="13"/>
        <v/>
      </c>
      <c r="Q209" s="104" t="str">
        <f>IFERROR(INDEX($M$3:M$350, $P209, COLUMNS($Q$3:Q556)),"")</f>
        <v/>
      </c>
      <c r="R209" s="104"/>
      <c r="V209">
        <v>207</v>
      </c>
      <c r="W209" t="str">
        <f t="shared" si="14"/>
        <v/>
      </c>
      <c r="X209" t="str">
        <f t="shared" si="15"/>
        <v/>
      </c>
      <c r="Y209" s="108" t="str">
        <f>IFERROR(INDEX($T$3:U$352, $X209, COLUMNS($Y$3:Y209)), "")</f>
        <v/>
      </c>
      <c r="Z209" s="108" t="str">
        <f>IFERROR(INDEX($T$3:V$352, $X209, COLUMNS($Y$3:Z209)), "")</f>
        <v/>
      </c>
    </row>
    <row r="210" spans="11:26" x14ac:dyDescent="0.25">
      <c r="K210" s="104"/>
      <c r="L210" s="104"/>
      <c r="M210" s="104"/>
      <c r="N210" s="104">
        <v>208</v>
      </c>
      <c r="O210" s="104" t="str">
        <f t="shared" si="12"/>
        <v/>
      </c>
      <c r="P210" s="104" t="str">
        <f t="shared" si="13"/>
        <v/>
      </c>
      <c r="Q210" s="104" t="str">
        <f>IFERROR(INDEX($M$3:M$350, $P210, COLUMNS($Q$3:Q557)),"")</f>
        <v/>
      </c>
      <c r="R210" s="104"/>
      <c r="V210">
        <v>208</v>
      </c>
      <c r="W210" t="str">
        <f t="shared" si="14"/>
        <v/>
      </c>
      <c r="X210" t="str">
        <f t="shared" si="15"/>
        <v/>
      </c>
      <c r="Y210" s="108" t="str">
        <f>IFERROR(INDEX($T$3:U$352, $X210, COLUMNS($Y$3:Y210)), "")</f>
        <v/>
      </c>
      <c r="Z210" s="108" t="str">
        <f>IFERROR(INDEX($T$3:V$352, $X210, COLUMNS($Y$3:Z210)), "")</f>
        <v/>
      </c>
    </row>
    <row r="211" spans="11:26" x14ac:dyDescent="0.25">
      <c r="K211" s="104"/>
      <c r="L211" s="104"/>
      <c r="M211" s="104"/>
      <c r="N211" s="104">
        <v>209</v>
      </c>
      <c r="O211" s="104" t="str">
        <f t="shared" si="12"/>
        <v/>
      </c>
      <c r="P211" s="104" t="str">
        <f t="shared" si="13"/>
        <v/>
      </c>
      <c r="Q211" s="104" t="str">
        <f>IFERROR(INDEX($M$3:M$350, $P211, COLUMNS($Q$3:Q558)),"")</f>
        <v/>
      </c>
      <c r="R211" s="104"/>
      <c r="V211">
        <v>209</v>
      </c>
      <c r="W211" t="str">
        <f t="shared" si="14"/>
        <v/>
      </c>
      <c r="X211" t="str">
        <f t="shared" si="15"/>
        <v/>
      </c>
      <c r="Y211" s="108" t="str">
        <f>IFERROR(INDEX($T$3:U$352, $X211, COLUMNS($Y$3:Y211)), "")</f>
        <v/>
      </c>
      <c r="Z211" s="108" t="str">
        <f>IFERROR(INDEX($T$3:V$352, $X211, COLUMNS($Y$3:Z211)), "")</f>
        <v/>
      </c>
    </row>
    <row r="212" spans="11:26" x14ac:dyDescent="0.25">
      <c r="K212" s="104"/>
      <c r="L212" s="104"/>
      <c r="M212" s="104"/>
      <c r="N212" s="104">
        <v>210</v>
      </c>
      <c r="O212" s="104" t="str">
        <f t="shared" si="12"/>
        <v/>
      </c>
      <c r="P212" s="104" t="str">
        <f t="shared" si="13"/>
        <v/>
      </c>
      <c r="Q212" s="104" t="str">
        <f>IFERROR(INDEX($M$3:M$350, $P212, COLUMNS($Q$3:Q559)),"")</f>
        <v/>
      </c>
      <c r="R212" s="104"/>
      <c r="V212">
        <v>210</v>
      </c>
      <c r="W212" t="str">
        <f t="shared" si="14"/>
        <v/>
      </c>
      <c r="X212" t="str">
        <f t="shared" si="15"/>
        <v/>
      </c>
      <c r="Y212" s="108" t="str">
        <f>IFERROR(INDEX($T$3:U$352, $X212, COLUMNS($Y$3:Y212)), "")</f>
        <v/>
      </c>
      <c r="Z212" s="108" t="str">
        <f>IFERROR(INDEX($T$3:V$352, $X212, COLUMNS($Y$3:Z212)), "")</f>
        <v/>
      </c>
    </row>
    <row r="213" spans="11:26" x14ac:dyDescent="0.25">
      <c r="K213" s="104"/>
      <c r="L213" s="104"/>
      <c r="M213" s="104"/>
      <c r="N213" s="104">
        <v>211</v>
      </c>
      <c r="O213" s="104" t="str">
        <f t="shared" si="12"/>
        <v/>
      </c>
      <c r="P213" s="104" t="str">
        <f t="shared" si="13"/>
        <v/>
      </c>
      <c r="Q213" s="104" t="str">
        <f>IFERROR(INDEX($M$3:M$350, $P213, COLUMNS($Q$3:Q560)),"")</f>
        <v/>
      </c>
      <c r="R213" s="104"/>
      <c r="V213">
        <v>211</v>
      </c>
      <c r="W213" t="str">
        <f t="shared" si="14"/>
        <v/>
      </c>
      <c r="X213" t="str">
        <f t="shared" si="15"/>
        <v/>
      </c>
      <c r="Y213" s="108" t="str">
        <f>IFERROR(INDEX($T$3:U$352, $X213, COLUMNS($Y$3:Y213)), "")</f>
        <v/>
      </c>
      <c r="Z213" s="108" t="str">
        <f>IFERROR(INDEX($T$3:V$352, $X213, COLUMNS($Y$3:Z213)), "")</f>
        <v/>
      </c>
    </row>
    <row r="214" spans="11:26" x14ac:dyDescent="0.25">
      <c r="K214" s="104"/>
      <c r="L214" s="104"/>
      <c r="M214" s="104"/>
      <c r="N214" s="104">
        <v>212</v>
      </c>
      <c r="O214" s="104" t="str">
        <f t="shared" si="12"/>
        <v/>
      </c>
      <c r="P214" s="104" t="str">
        <f t="shared" si="13"/>
        <v/>
      </c>
      <c r="Q214" s="104" t="str">
        <f>IFERROR(INDEX($M$3:M$350, $P214, COLUMNS($Q$3:Q561)),"")</f>
        <v/>
      </c>
      <c r="R214" s="104"/>
      <c r="V214">
        <v>212</v>
      </c>
      <c r="W214" t="str">
        <f t="shared" si="14"/>
        <v/>
      </c>
      <c r="X214" t="str">
        <f t="shared" si="15"/>
        <v/>
      </c>
      <c r="Y214" s="108" t="str">
        <f>IFERROR(INDEX($T$3:U$352, $X214, COLUMNS($Y$3:Y214)), "")</f>
        <v/>
      </c>
      <c r="Z214" s="108" t="str">
        <f>IFERROR(INDEX($T$3:V$352, $X214, COLUMNS($Y$3:Z214)), "")</f>
        <v/>
      </c>
    </row>
    <row r="215" spans="11:26" x14ac:dyDescent="0.25">
      <c r="K215" s="104"/>
      <c r="L215" s="104"/>
      <c r="M215" s="104"/>
      <c r="N215" s="104">
        <v>213</v>
      </c>
      <c r="O215" s="104" t="str">
        <f t="shared" si="12"/>
        <v/>
      </c>
      <c r="P215" s="104" t="str">
        <f t="shared" si="13"/>
        <v/>
      </c>
      <c r="Q215" s="104" t="str">
        <f>IFERROR(INDEX($M$3:M$350, $P215, COLUMNS($Q$3:Q562)),"")</f>
        <v/>
      </c>
      <c r="R215" s="104"/>
      <c r="V215">
        <v>213</v>
      </c>
      <c r="W215" t="str">
        <f t="shared" si="14"/>
        <v/>
      </c>
      <c r="X215" t="str">
        <f t="shared" si="15"/>
        <v/>
      </c>
      <c r="Y215" s="108" t="str">
        <f>IFERROR(INDEX($T$3:U$352, $X215, COLUMNS($Y$3:Y215)), "")</f>
        <v/>
      </c>
      <c r="Z215" s="108" t="str">
        <f>IFERROR(INDEX($T$3:V$352, $X215, COLUMNS($Y$3:Z215)), "")</f>
        <v/>
      </c>
    </row>
    <row r="216" spans="11:26" x14ac:dyDescent="0.25">
      <c r="K216" s="104"/>
      <c r="L216" s="104"/>
      <c r="M216" s="104"/>
      <c r="N216" s="104">
        <v>214</v>
      </c>
      <c r="O216" s="104" t="str">
        <f t="shared" si="12"/>
        <v/>
      </c>
      <c r="P216" s="104" t="str">
        <f t="shared" si="13"/>
        <v/>
      </c>
      <c r="Q216" s="104" t="str">
        <f>IFERROR(INDEX($M$3:M$350, $P216, COLUMNS($Q$3:Q563)),"")</f>
        <v/>
      </c>
      <c r="R216" s="104"/>
      <c r="V216">
        <v>214</v>
      </c>
      <c r="W216" t="str">
        <f t="shared" si="14"/>
        <v/>
      </c>
      <c r="X216" t="str">
        <f t="shared" si="15"/>
        <v/>
      </c>
      <c r="Y216" s="108" t="str">
        <f>IFERROR(INDEX($T$3:U$352, $X216, COLUMNS($Y$3:Y216)), "")</f>
        <v/>
      </c>
      <c r="Z216" s="108" t="str">
        <f>IFERROR(INDEX($T$3:V$352, $X216, COLUMNS($Y$3:Z216)), "")</f>
        <v/>
      </c>
    </row>
    <row r="217" spans="11:26" x14ac:dyDescent="0.25">
      <c r="K217" s="104"/>
      <c r="L217" s="104"/>
      <c r="M217" s="104"/>
      <c r="N217" s="104">
        <v>215</v>
      </c>
      <c r="O217" s="104" t="str">
        <f t="shared" si="12"/>
        <v/>
      </c>
      <c r="P217" s="104" t="str">
        <f t="shared" si="13"/>
        <v/>
      </c>
      <c r="Q217" s="104" t="str">
        <f>IFERROR(INDEX($M$3:M$350, $P217, COLUMNS($Q$3:Q564)),"")</f>
        <v/>
      </c>
      <c r="R217" s="104"/>
      <c r="V217">
        <v>215</v>
      </c>
      <c r="W217" t="str">
        <f t="shared" si="14"/>
        <v/>
      </c>
      <c r="X217" t="str">
        <f t="shared" si="15"/>
        <v/>
      </c>
      <c r="Y217" s="108" t="str">
        <f>IFERROR(INDEX($T$3:U$352, $X217, COLUMNS($Y$3:Y217)), "")</f>
        <v/>
      </c>
      <c r="Z217" s="108" t="str">
        <f>IFERROR(INDEX($T$3:V$352, $X217, COLUMNS($Y$3:Z217)), "")</f>
        <v/>
      </c>
    </row>
    <row r="218" spans="11:26" x14ac:dyDescent="0.25">
      <c r="K218" s="104"/>
      <c r="L218" s="104"/>
      <c r="M218" s="104"/>
      <c r="N218" s="104">
        <v>216</v>
      </c>
      <c r="O218" s="104" t="str">
        <f t="shared" si="12"/>
        <v/>
      </c>
      <c r="P218" s="104" t="str">
        <f t="shared" si="13"/>
        <v/>
      </c>
      <c r="Q218" s="104" t="str">
        <f>IFERROR(INDEX($M$3:M$350, $P218, COLUMNS($Q$3:Q565)),"")</f>
        <v/>
      </c>
      <c r="R218" s="104"/>
      <c r="V218">
        <v>216</v>
      </c>
      <c r="W218" t="str">
        <f t="shared" si="14"/>
        <v/>
      </c>
      <c r="X218" t="str">
        <f t="shared" si="15"/>
        <v/>
      </c>
      <c r="Y218" s="108" t="str">
        <f>IFERROR(INDEX($T$3:U$352, $X218, COLUMNS($Y$3:Y218)), "")</f>
        <v/>
      </c>
      <c r="Z218" s="108" t="str">
        <f>IFERROR(INDEX($T$3:V$352, $X218, COLUMNS($Y$3:Z218)), "")</f>
        <v/>
      </c>
    </row>
    <row r="219" spans="11:26" x14ac:dyDescent="0.25">
      <c r="K219" s="104"/>
      <c r="L219" s="104"/>
      <c r="M219" s="104"/>
      <c r="N219" s="104">
        <v>217</v>
      </c>
      <c r="O219" s="104" t="str">
        <f t="shared" si="12"/>
        <v/>
      </c>
      <c r="P219" s="104" t="str">
        <f t="shared" si="13"/>
        <v/>
      </c>
      <c r="Q219" s="104" t="str">
        <f>IFERROR(INDEX($M$3:M$350, $P219, COLUMNS($Q$3:Q566)),"")</f>
        <v/>
      </c>
      <c r="R219" s="104"/>
      <c r="V219">
        <v>217</v>
      </c>
      <c r="W219" t="str">
        <f t="shared" si="14"/>
        <v/>
      </c>
      <c r="X219" t="str">
        <f t="shared" si="15"/>
        <v/>
      </c>
      <c r="Y219" s="108" t="str">
        <f>IFERROR(INDEX($T$3:U$352, $X219, COLUMNS($Y$3:Y219)), "")</f>
        <v/>
      </c>
      <c r="Z219" s="108" t="str">
        <f>IFERROR(INDEX($T$3:V$352, $X219, COLUMNS($Y$3:Z219)), "")</f>
        <v/>
      </c>
    </row>
    <row r="220" spans="11:26" x14ac:dyDescent="0.25">
      <c r="K220" s="104"/>
      <c r="L220" s="104"/>
      <c r="M220" s="104"/>
      <c r="N220" s="104">
        <v>218</v>
      </c>
      <c r="O220" s="104" t="str">
        <f t="shared" si="12"/>
        <v/>
      </c>
      <c r="P220" s="104" t="str">
        <f t="shared" si="13"/>
        <v/>
      </c>
      <c r="Q220" s="104" t="str">
        <f>IFERROR(INDEX($M$3:M$350, $P220, COLUMNS($Q$3:Q567)),"")</f>
        <v/>
      </c>
      <c r="R220" s="104"/>
      <c r="V220">
        <v>218</v>
      </c>
      <c r="W220" t="str">
        <f t="shared" si="14"/>
        <v/>
      </c>
      <c r="X220" t="str">
        <f t="shared" si="15"/>
        <v/>
      </c>
      <c r="Y220" s="108" t="str">
        <f>IFERROR(INDEX($T$3:U$352, $X220, COLUMNS($Y$3:Y220)), "")</f>
        <v/>
      </c>
      <c r="Z220" s="108" t="str">
        <f>IFERROR(INDEX($T$3:V$352, $X220, COLUMNS($Y$3:Z220)), "")</f>
        <v/>
      </c>
    </row>
    <row r="221" spans="11:26" x14ac:dyDescent="0.25">
      <c r="K221" s="104"/>
      <c r="L221" s="104"/>
      <c r="M221" s="104"/>
      <c r="N221" s="104">
        <v>219</v>
      </c>
      <c r="O221" s="104" t="str">
        <f t="shared" si="12"/>
        <v/>
      </c>
      <c r="P221" s="104" t="str">
        <f t="shared" si="13"/>
        <v/>
      </c>
      <c r="Q221" s="104" t="str">
        <f>IFERROR(INDEX($M$3:M$350, $P221, COLUMNS($Q$3:Q568)),"")</f>
        <v/>
      </c>
      <c r="R221" s="104"/>
      <c r="V221">
        <v>219</v>
      </c>
      <c r="W221" t="str">
        <f t="shared" si="14"/>
        <v/>
      </c>
      <c r="X221" t="str">
        <f t="shared" si="15"/>
        <v/>
      </c>
      <c r="Y221" s="108" t="str">
        <f>IFERROR(INDEX($T$3:U$352, $X221, COLUMNS($Y$3:Y221)), "")</f>
        <v/>
      </c>
      <c r="Z221" s="108" t="str">
        <f>IFERROR(INDEX($T$3:V$352, $X221, COLUMNS($Y$3:Z221)), "")</f>
        <v/>
      </c>
    </row>
    <row r="222" spans="11:26" x14ac:dyDescent="0.25">
      <c r="K222" s="104"/>
      <c r="L222" s="104"/>
      <c r="M222" s="104"/>
      <c r="N222" s="104">
        <v>220</v>
      </c>
      <c r="O222" s="104" t="str">
        <f t="shared" si="12"/>
        <v/>
      </c>
      <c r="P222" s="104" t="str">
        <f t="shared" si="13"/>
        <v/>
      </c>
      <c r="Q222" s="104" t="str">
        <f>IFERROR(INDEX($M$3:M$350, $P222, COLUMNS($Q$3:Q569)),"")</f>
        <v/>
      </c>
      <c r="R222" s="104"/>
      <c r="V222">
        <v>220</v>
      </c>
      <c r="W222" t="str">
        <f t="shared" si="14"/>
        <v/>
      </c>
      <c r="X222" t="str">
        <f t="shared" si="15"/>
        <v/>
      </c>
      <c r="Y222" s="108" t="str">
        <f>IFERROR(INDEX($T$3:U$352, $X222, COLUMNS($Y$3:Y222)), "")</f>
        <v/>
      </c>
      <c r="Z222" s="108" t="str">
        <f>IFERROR(INDEX($T$3:V$352, $X222, COLUMNS($Y$3:Z222)), "")</f>
        <v/>
      </c>
    </row>
    <row r="223" spans="11:26" x14ac:dyDescent="0.25">
      <c r="K223" s="104"/>
      <c r="L223" s="104"/>
      <c r="M223" s="104"/>
      <c r="N223" s="104">
        <v>221</v>
      </c>
      <c r="O223" s="104" t="str">
        <f t="shared" si="12"/>
        <v/>
      </c>
      <c r="P223" s="104" t="str">
        <f t="shared" si="13"/>
        <v/>
      </c>
      <c r="Q223" s="104" t="str">
        <f>IFERROR(INDEX($M$3:M$350, $P223, COLUMNS($Q$3:Q570)),"")</f>
        <v/>
      </c>
      <c r="R223" s="104"/>
      <c r="V223">
        <v>221</v>
      </c>
      <c r="W223" t="str">
        <f t="shared" si="14"/>
        <v/>
      </c>
      <c r="X223" t="str">
        <f t="shared" si="15"/>
        <v/>
      </c>
      <c r="Y223" s="108" t="str">
        <f>IFERROR(INDEX($T$3:U$352, $X223, COLUMNS($Y$3:Y223)), "")</f>
        <v/>
      </c>
      <c r="Z223" s="108" t="str">
        <f>IFERROR(INDEX($T$3:V$352, $X223, COLUMNS($Y$3:Z223)), "")</f>
        <v/>
      </c>
    </row>
    <row r="224" spans="11:26" x14ac:dyDescent="0.25">
      <c r="K224" s="104"/>
      <c r="L224" s="104"/>
      <c r="M224" s="104"/>
      <c r="N224" s="104">
        <v>222</v>
      </c>
      <c r="O224" s="104" t="str">
        <f t="shared" si="12"/>
        <v/>
      </c>
      <c r="P224" s="104" t="str">
        <f t="shared" si="13"/>
        <v/>
      </c>
      <c r="Q224" s="104" t="str">
        <f>IFERROR(INDEX($M$3:M$350, $P224, COLUMNS($Q$3:Q571)),"")</f>
        <v/>
      </c>
      <c r="R224" s="104"/>
      <c r="V224">
        <v>222</v>
      </c>
      <c r="W224" t="str">
        <f t="shared" si="14"/>
        <v/>
      </c>
      <c r="X224" t="str">
        <f t="shared" si="15"/>
        <v/>
      </c>
      <c r="Y224" s="108" t="str">
        <f>IFERROR(INDEX($T$3:U$352, $X224, COLUMNS($Y$3:Y224)), "")</f>
        <v/>
      </c>
      <c r="Z224" s="108" t="str">
        <f>IFERROR(INDEX($T$3:V$352, $X224, COLUMNS($Y$3:Z224)), "")</f>
        <v/>
      </c>
    </row>
    <row r="225" spans="11:26" x14ac:dyDescent="0.25">
      <c r="K225" s="104"/>
      <c r="L225" s="104"/>
      <c r="M225" s="104"/>
      <c r="N225" s="104">
        <v>223</v>
      </c>
      <c r="O225" s="104" t="str">
        <f t="shared" si="12"/>
        <v/>
      </c>
      <c r="P225" s="104" t="str">
        <f t="shared" si="13"/>
        <v/>
      </c>
      <c r="Q225" s="104" t="str">
        <f>IFERROR(INDEX($M$3:M$350, $P225, COLUMNS($Q$3:Q572)),"")</f>
        <v/>
      </c>
      <c r="R225" s="104"/>
      <c r="V225">
        <v>223</v>
      </c>
      <c r="W225" t="str">
        <f t="shared" si="14"/>
        <v/>
      </c>
      <c r="X225" t="str">
        <f t="shared" si="15"/>
        <v/>
      </c>
      <c r="Y225" s="108" t="str">
        <f>IFERROR(INDEX($T$3:U$352, $X225, COLUMNS($Y$3:Y225)), "")</f>
        <v/>
      </c>
      <c r="Z225" s="108" t="str">
        <f>IFERROR(INDEX($T$3:V$352, $X225, COLUMNS($Y$3:Z225)), "")</f>
        <v/>
      </c>
    </row>
    <row r="226" spans="11:26" x14ac:dyDescent="0.25">
      <c r="K226" s="104"/>
      <c r="L226" s="104"/>
      <c r="M226" s="104"/>
      <c r="N226" s="104">
        <v>224</v>
      </c>
      <c r="O226" s="104" t="str">
        <f t="shared" si="12"/>
        <v/>
      </c>
      <c r="P226" s="104" t="str">
        <f t="shared" si="13"/>
        <v/>
      </c>
      <c r="Q226" s="104" t="str">
        <f>IFERROR(INDEX($M$3:M$350, $P226, COLUMNS($Q$3:Q573)),"")</f>
        <v/>
      </c>
      <c r="R226" s="104"/>
      <c r="V226">
        <v>224</v>
      </c>
      <c r="W226" t="str">
        <f t="shared" si="14"/>
        <v/>
      </c>
      <c r="X226" t="str">
        <f t="shared" si="15"/>
        <v/>
      </c>
      <c r="Y226" s="108" t="str">
        <f>IFERROR(INDEX($T$3:U$352, $X226, COLUMNS($Y$3:Y226)), "")</f>
        <v/>
      </c>
      <c r="Z226" s="108" t="str">
        <f>IFERROR(INDEX($T$3:V$352, $X226, COLUMNS($Y$3:Z226)), "")</f>
        <v/>
      </c>
    </row>
    <row r="227" spans="11:26" x14ac:dyDescent="0.25">
      <c r="K227" s="104"/>
      <c r="L227" s="104"/>
      <c r="M227" s="104"/>
      <c r="N227" s="104">
        <v>225</v>
      </c>
      <c r="O227" s="104" t="str">
        <f t="shared" si="12"/>
        <v/>
      </c>
      <c r="P227" s="104" t="str">
        <f t="shared" si="13"/>
        <v/>
      </c>
      <c r="Q227" s="104" t="str">
        <f>IFERROR(INDEX($M$3:M$350, $P227, COLUMNS($Q$3:Q574)),"")</f>
        <v/>
      </c>
      <c r="R227" s="104"/>
      <c r="V227">
        <v>225</v>
      </c>
      <c r="W227" t="str">
        <f t="shared" si="14"/>
        <v/>
      </c>
      <c r="X227" t="str">
        <f t="shared" si="15"/>
        <v/>
      </c>
      <c r="Y227" s="108" t="str">
        <f>IFERROR(INDEX($T$3:U$352, $X227, COLUMNS($Y$3:Y227)), "")</f>
        <v/>
      </c>
      <c r="Z227" s="108" t="str">
        <f>IFERROR(INDEX($T$3:V$352, $X227, COLUMNS($Y$3:Z227)), "")</f>
        <v/>
      </c>
    </row>
    <row r="228" spans="11:26" x14ac:dyDescent="0.25">
      <c r="K228" s="104"/>
      <c r="L228" s="104"/>
      <c r="M228" s="104"/>
      <c r="N228" s="104">
        <v>226</v>
      </c>
      <c r="O228" s="104" t="str">
        <f t="shared" si="12"/>
        <v/>
      </c>
      <c r="P228" s="104" t="str">
        <f t="shared" si="13"/>
        <v/>
      </c>
      <c r="Q228" s="104" t="str">
        <f>IFERROR(INDEX($M$3:M$350, $P228, COLUMNS($Q$3:Q575)),"")</f>
        <v/>
      </c>
      <c r="R228" s="104"/>
      <c r="V228">
        <v>226</v>
      </c>
      <c r="W228" t="str">
        <f t="shared" si="14"/>
        <v/>
      </c>
      <c r="X228" t="str">
        <f t="shared" si="15"/>
        <v/>
      </c>
      <c r="Y228" s="108" t="str">
        <f>IFERROR(INDEX($T$3:U$352, $X228, COLUMNS($Y$3:Y228)), "")</f>
        <v/>
      </c>
      <c r="Z228" s="108" t="str">
        <f>IFERROR(INDEX($T$3:V$352, $X228, COLUMNS($Y$3:Z228)), "")</f>
        <v/>
      </c>
    </row>
    <row r="229" spans="11:26" x14ac:dyDescent="0.25">
      <c r="K229" s="104"/>
      <c r="L229" s="104"/>
      <c r="M229" s="104"/>
      <c r="N229" s="104">
        <v>227</v>
      </c>
      <c r="O229" s="104" t="str">
        <f t="shared" si="12"/>
        <v/>
      </c>
      <c r="P229" s="104" t="str">
        <f t="shared" si="13"/>
        <v/>
      </c>
      <c r="Q229" s="104" t="str">
        <f>IFERROR(INDEX($M$3:M$350, $P229, COLUMNS($Q$3:Q576)),"")</f>
        <v/>
      </c>
      <c r="R229" s="104"/>
      <c r="V229">
        <v>227</v>
      </c>
      <c r="W229" t="str">
        <f t="shared" si="14"/>
        <v/>
      </c>
      <c r="X229" t="str">
        <f t="shared" si="15"/>
        <v/>
      </c>
      <c r="Y229" s="108" t="str">
        <f>IFERROR(INDEX($T$3:U$352, $X229, COLUMNS($Y$3:Y229)), "")</f>
        <v/>
      </c>
      <c r="Z229" s="108" t="str">
        <f>IFERROR(INDEX($T$3:V$352, $X229, COLUMNS($Y$3:Z229)), "")</f>
        <v/>
      </c>
    </row>
    <row r="230" spans="11:26" x14ac:dyDescent="0.25">
      <c r="K230" s="104"/>
      <c r="L230" s="104"/>
      <c r="M230" s="104"/>
      <c r="N230" s="104">
        <v>228</v>
      </c>
      <c r="O230" s="104" t="str">
        <f t="shared" si="12"/>
        <v/>
      </c>
      <c r="P230" s="104" t="str">
        <f t="shared" si="13"/>
        <v/>
      </c>
      <c r="Q230" s="104" t="str">
        <f>IFERROR(INDEX($M$3:M$350, $P230, COLUMNS($Q$3:Q577)),"")</f>
        <v/>
      </c>
      <c r="R230" s="104"/>
      <c r="V230">
        <v>228</v>
      </c>
      <c r="W230" t="str">
        <f t="shared" si="14"/>
        <v/>
      </c>
      <c r="X230" t="str">
        <f t="shared" si="15"/>
        <v/>
      </c>
      <c r="Y230" s="108" t="str">
        <f>IFERROR(INDEX($T$3:U$352, $X230, COLUMNS($Y$3:Y230)), "")</f>
        <v/>
      </c>
      <c r="Z230" s="108" t="str">
        <f>IFERROR(INDEX($T$3:V$352, $X230, COLUMNS($Y$3:Z230)), "")</f>
        <v/>
      </c>
    </row>
    <row r="231" spans="11:26" x14ac:dyDescent="0.25">
      <c r="K231" s="104"/>
      <c r="L231" s="104"/>
      <c r="M231" s="104"/>
      <c r="N231" s="104">
        <v>229</v>
      </c>
      <c r="O231" s="104" t="str">
        <f t="shared" si="12"/>
        <v/>
      </c>
      <c r="P231" s="104" t="str">
        <f t="shared" si="13"/>
        <v/>
      </c>
      <c r="Q231" s="104" t="str">
        <f>IFERROR(INDEX($M$3:M$350, $P231, COLUMNS($Q$3:Q578)),"")</f>
        <v/>
      </c>
      <c r="R231" s="104"/>
      <c r="V231">
        <v>229</v>
      </c>
      <c r="W231" t="str">
        <f t="shared" si="14"/>
        <v/>
      </c>
      <c r="X231" t="str">
        <f t="shared" si="15"/>
        <v/>
      </c>
      <c r="Y231" s="108" t="str">
        <f>IFERROR(INDEX($T$3:U$352, $X231, COLUMNS($Y$3:Y231)), "")</f>
        <v/>
      </c>
      <c r="Z231" s="108" t="str">
        <f>IFERROR(INDEX($T$3:V$352, $X231, COLUMNS($Y$3:Z231)), "")</f>
        <v/>
      </c>
    </row>
    <row r="232" spans="11:26" x14ac:dyDescent="0.25">
      <c r="K232" s="104"/>
      <c r="L232" s="104"/>
      <c r="M232" s="104"/>
      <c r="N232" s="104">
        <v>230</v>
      </c>
      <c r="O232" s="104" t="str">
        <f t="shared" si="12"/>
        <v/>
      </c>
      <c r="P232" s="104" t="str">
        <f t="shared" si="13"/>
        <v/>
      </c>
      <c r="Q232" s="104" t="str">
        <f>IFERROR(INDEX($M$3:M$350, $P232, COLUMNS($Q$3:Q579)),"")</f>
        <v/>
      </c>
      <c r="R232" s="104"/>
      <c r="V232">
        <v>230</v>
      </c>
      <c r="W232" t="str">
        <f t="shared" si="14"/>
        <v/>
      </c>
      <c r="X232" t="str">
        <f t="shared" si="15"/>
        <v/>
      </c>
      <c r="Y232" s="108" t="str">
        <f>IFERROR(INDEX($T$3:U$352, $X232, COLUMNS($Y$3:Y232)), "")</f>
        <v/>
      </c>
      <c r="Z232" s="108" t="str">
        <f>IFERROR(INDEX($T$3:V$352, $X232, COLUMNS($Y$3:Z232)), "")</f>
        <v/>
      </c>
    </row>
    <row r="233" spans="11:26" x14ac:dyDescent="0.25">
      <c r="K233" s="104"/>
      <c r="L233" s="104"/>
      <c r="M233" s="104"/>
      <c r="N233" s="104">
        <v>231</v>
      </c>
      <c r="O233" s="104" t="str">
        <f t="shared" si="12"/>
        <v/>
      </c>
      <c r="P233" s="104" t="str">
        <f t="shared" si="13"/>
        <v/>
      </c>
      <c r="Q233" s="104" t="str">
        <f>IFERROR(INDEX($M$3:M$350, $P233, COLUMNS($Q$3:Q580)),"")</f>
        <v/>
      </c>
      <c r="R233" s="104"/>
      <c r="V233">
        <v>231</v>
      </c>
      <c r="W233" t="str">
        <f t="shared" si="14"/>
        <v/>
      </c>
      <c r="X233" t="str">
        <f t="shared" si="15"/>
        <v/>
      </c>
      <c r="Y233" s="108" t="str">
        <f>IFERROR(INDEX($T$3:U$352, $X233, COLUMNS($Y$3:Y233)), "")</f>
        <v/>
      </c>
      <c r="Z233" s="108" t="str">
        <f>IFERROR(INDEX($T$3:V$352, $X233, COLUMNS($Y$3:Z233)), "")</f>
        <v/>
      </c>
    </row>
    <row r="234" spans="11:26" x14ac:dyDescent="0.25">
      <c r="K234" s="104"/>
      <c r="L234" s="104"/>
      <c r="M234" s="104"/>
      <c r="N234" s="104">
        <v>232</v>
      </c>
      <c r="O234" s="104" t="str">
        <f t="shared" si="12"/>
        <v/>
      </c>
      <c r="P234" s="104" t="str">
        <f t="shared" si="13"/>
        <v/>
      </c>
      <c r="Q234" s="104" t="str">
        <f>IFERROR(INDEX($M$3:M$350, $P234, COLUMNS($Q$3:Q581)),"")</f>
        <v/>
      </c>
      <c r="R234" s="104"/>
      <c r="V234">
        <v>232</v>
      </c>
      <c r="W234" t="str">
        <f t="shared" si="14"/>
        <v/>
      </c>
      <c r="X234" t="str">
        <f t="shared" si="15"/>
        <v/>
      </c>
      <c r="Y234" s="108" t="str">
        <f>IFERROR(INDEX($T$3:U$352, $X234, COLUMNS($Y$3:Y234)), "")</f>
        <v/>
      </c>
      <c r="Z234" s="108" t="str">
        <f>IFERROR(INDEX($T$3:V$352, $X234, COLUMNS($Y$3:Z234)), "")</f>
        <v/>
      </c>
    </row>
    <row r="235" spans="11:26" x14ac:dyDescent="0.25">
      <c r="K235" s="104"/>
      <c r="L235" s="104"/>
      <c r="M235" s="104"/>
      <c r="N235" s="104">
        <v>233</v>
      </c>
      <c r="O235" s="104" t="str">
        <f t="shared" si="12"/>
        <v/>
      </c>
      <c r="P235" s="104" t="str">
        <f t="shared" si="13"/>
        <v/>
      </c>
      <c r="Q235" s="104" t="str">
        <f>IFERROR(INDEX($M$3:M$350, $P235, COLUMNS($Q$3:Q582)),"")</f>
        <v/>
      </c>
      <c r="R235" s="104"/>
      <c r="V235">
        <v>233</v>
      </c>
      <c r="W235" t="str">
        <f t="shared" si="14"/>
        <v/>
      </c>
      <c r="X235" t="str">
        <f t="shared" si="15"/>
        <v/>
      </c>
      <c r="Y235" s="108" t="str">
        <f>IFERROR(INDEX($T$3:U$352, $X235, COLUMNS($Y$3:Y235)), "")</f>
        <v/>
      </c>
      <c r="Z235" s="108" t="str">
        <f>IFERROR(INDEX($T$3:V$352, $X235, COLUMNS($Y$3:Z235)), "")</f>
        <v/>
      </c>
    </row>
    <row r="236" spans="11:26" x14ac:dyDescent="0.25">
      <c r="K236" s="104"/>
      <c r="L236" s="104"/>
      <c r="M236" s="104"/>
      <c r="N236" s="104">
        <v>234</v>
      </c>
      <c r="O236" s="104" t="str">
        <f t="shared" si="12"/>
        <v/>
      </c>
      <c r="P236" s="104" t="str">
        <f t="shared" si="13"/>
        <v/>
      </c>
      <c r="Q236" s="104" t="str">
        <f>IFERROR(INDEX($M$3:M$350, $P236, COLUMNS($Q$3:Q583)),"")</f>
        <v/>
      </c>
      <c r="R236" s="104"/>
      <c r="V236">
        <v>234</v>
      </c>
      <c r="W236" t="str">
        <f t="shared" si="14"/>
        <v/>
      </c>
      <c r="X236" t="str">
        <f t="shared" si="15"/>
        <v/>
      </c>
      <c r="Y236" s="108" t="str">
        <f>IFERROR(INDEX($T$3:U$352, $X236, COLUMNS($Y$3:Y236)), "")</f>
        <v/>
      </c>
      <c r="Z236" s="108" t="str">
        <f>IFERROR(INDEX($T$3:V$352, $X236, COLUMNS($Y$3:Z236)), "")</f>
        <v/>
      </c>
    </row>
    <row r="237" spans="11:26" x14ac:dyDescent="0.25">
      <c r="K237" s="104"/>
      <c r="L237" s="104"/>
      <c r="M237" s="104"/>
      <c r="N237" s="104">
        <v>235</v>
      </c>
      <c r="O237" s="104" t="str">
        <f t="shared" si="12"/>
        <v/>
      </c>
      <c r="P237" s="104" t="str">
        <f t="shared" si="13"/>
        <v/>
      </c>
      <c r="Q237" s="104" t="str">
        <f>IFERROR(INDEX($M$3:M$350, $P237, COLUMNS($Q$3:Q584)),"")</f>
        <v/>
      </c>
      <c r="R237" s="104"/>
      <c r="V237">
        <v>235</v>
      </c>
      <c r="W237" t="str">
        <f t="shared" si="14"/>
        <v/>
      </c>
      <c r="X237" t="str">
        <f t="shared" si="15"/>
        <v/>
      </c>
      <c r="Y237" s="108" t="str">
        <f>IFERROR(INDEX($T$3:U$352, $X237, COLUMNS($Y$3:Y237)), "")</f>
        <v/>
      </c>
      <c r="Z237" s="108" t="str">
        <f>IFERROR(INDEX($T$3:V$352, $X237, COLUMNS($Y$3:Z237)), "")</f>
        <v/>
      </c>
    </row>
    <row r="238" spans="11:26" x14ac:dyDescent="0.25">
      <c r="K238" s="104"/>
      <c r="L238" s="104"/>
      <c r="M238" s="104"/>
      <c r="N238" s="104">
        <v>236</v>
      </c>
      <c r="O238" s="104" t="str">
        <f t="shared" si="12"/>
        <v/>
      </c>
      <c r="P238" s="104" t="str">
        <f t="shared" si="13"/>
        <v/>
      </c>
      <c r="Q238" s="104" t="str">
        <f>IFERROR(INDEX($M$3:M$350, $P238, COLUMNS($Q$3:Q585)),"")</f>
        <v/>
      </c>
      <c r="R238" s="104"/>
      <c r="V238">
        <v>236</v>
      </c>
      <c r="W238" t="str">
        <f t="shared" si="14"/>
        <v/>
      </c>
      <c r="X238" t="str">
        <f t="shared" si="15"/>
        <v/>
      </c>
      <c r="Y238" s="108" t="str">
        <f>IFERROR(INDEX($T$3:U$352, $X238, COLUMNS($Y$3:Y238)), "")</f>
        <v/>
      </c>
      <c r="Z238" s="108" t="str">
        <f>IFERROR(INDEX($T$3:V$352, $X238, COLUMNS($Y$3:Z238)), "")</f>
        <v/>
      </c>
    </row>
    <row r="239" spans="11:26" x14ac:dyDescent="0.25">
      <c r="K239" s="104"/>
      <c r="L239" s="104"/>
      <c r="M239" s="104"/>
      <c r="N239" s="104">
        <v>237</v>
      </c>
      <c r="O239" s="104" t="str">
        <f t="shared" si="12"/>
        <v/>
      </c>
      <c r="P239" s="104" t="str">
        <f t="shared" si="13"/>
        <v/>
      </c>
      <c r="Q239" s="104" t="str">
        <f>IFERROR(INDEX($M$3:M$350, $P239, COLUMNS($Q$3:Q586)),"")</f>
        <v/>
      </c>
      <c r="R239" s="104"/>
      <c r="V239">
        <v>237</v>
      </c>
      <c r="W239" t="str">
        <f t="shared" si="14"/>
        <v/>
      </c>
      <c r="X239" t="str">
        <f t="shared" si="15"/>
        <v/>
      </c>
      <c r="Y239" s="108" t="str">
        <f>IFERROR(INDEX($T$3:U$352, $X239, COLUMNS($Y$3:Y239)), "")</f>
        <v/>
      </c>
      <c r="Z239" s="108" t="str">
        <f>IFERROR(INDEX($T$3:V$352, $X239, COLUMNS($Y$3:Z239)), "")</f>
        <v/>
      </c>
    </row>
    <row r="240" spans="11:26" x14ac:dyDescent="0.25">
      <c r="K240" s="104"/>
      <c r="L240" s="104"/>
      <c r="M240" s="104"/>
      <c r="N240" s="104">
        <v>238</v>
      </c>
      <c r="O240" s="104" t="str">
        <f t="shared" si="12"/>
        <v/>
      </c>
      <c r="P240" s="104" t="str">
        <f t="shared" si="13"/>
        <v/>
      </c>
      <c r="Q240" s="104" t="str">
        <f>IFERROR(INDEX($M$3:M$350, $P240, COLUMNS($Q$3:Q587)),"")</f>
        <v/>
      </c>
      <c r="R240" s="104"/>
      <c r="V240">
        <v>238</v>
      </c>
      <c r="W240" t="str">
        <f t="shared" si="14"/>
        <v/>
      </c>
      <c r="X240" t="str">
        <f t="shared" si="15"/>
        <v/>
      </c>
      <c r="Y240" s="108" t="str">
        <f>IFERROR(INDEX($T$3:U$352, $X240, COLUMNS($Y$3:Y240)), "")</f>
        <v/>
      </c>
      <c r="Z240" s="108" t="str">
        <f>IFERROR(INDEX($T$3:V$352, $X240, COLUMNS($Y$3:Z240)), "")</f>
        <v/>
      </c>
    </row>
    <row r="241" spans="11:26" x14ac:dyDescent="0.25">
      <c r="K241" s="104"/>
      <c r="L241" s="104"/>
      <c r="M241" s="104"/>
      <c r="N241" s="104">
        <v>239</v>
      </c>
      <c r="O241" s="104" t="str">
        <f t="shared" si="12"/>
        <v/>
      </c>
      <c r="P241" s="104" t="str">
        <f t="shared" si="13"/>
        <v/>
      </c>
      <c r="Q241" s="104" t="str">
        <f>IFERROR(INDEX($M$3:M$350, $P241, COLUMNS($Q$3:Q588)),"")</f>
        <v/>
      </c>
      <c r="R241" s="104"/>
      <c r="V241">
        <v>239</v>
      </c>
      <c r="W241" t="str">
        <f t="shared" si="14"/>
        <v/>
      </c>
      <c r="X241" t="str">
        <f t="shared" si="15"/>
        <v/>
      </c>
      <c r="Y241" s="108" t="str">
        <f>IFERROR(INDEX($T$3:U$352, $X241, COLUMNS($Y$3:Y241)), "")</f>
        <v/>
      </c>
      <c r="Z241" s="108" t="str">
        <f>IFERROR(INDEX($T$3:V$352, $X241, COLUMNS($Y$3:Z241)), "")</f>
        <v/>
      </c>
    </row>
    <row r="242" spans="11:26" x14ac:dyDescent="0.25">
      <c r="K242" s="104"/>
      <c r="L242" s="104"/>
      <c r="M242" s="104"/>
      <c r="N242" s="104">
        <v>240</v>
      </c>
      <c r="O242" s="104" t="str">
        <f t="shared" si="12"/>
        <v/>
      </c>
      <c r="P242" s="104" t="str">
        <f t="shared" si="13"/>
        <v/>
      </c>
      <c r="Q242" s="104" t="str">
        <f>IFERROR(INDEX($M$3:M$350, $P242, COLUMNS($Q$3:Q589)),"")</f>
        <v/>
      </c>
      <c r="R242" s="104"/>
      <c r="V242">
        <v>240</v>
      </c>
      <c r="W242" t="str">
        <f t="shared" si="14"/>
        <v/>
      </c>
      <c r="X242" t="str">
        <f t="shared" si="15"/>
        <v/>
      </c>
      <c r="Y242" s="108" t="str">
        <f>IFERROR(INDEX($T$3:U$352, $X242, COLUMNS($Y$3:Y242)), "")</f>
        <v/>
      </c>
      <c r="Z242" s="108" t="str">
        <f>IFERROR(INDEX($T$3:V$352, $X242, COLUMNS($Y$3:Z242)), "")</f>
        <v/>
      </c>
    </row>
    <row r="243" spans="11:26" x14ac:dyDescent="0.25">
      <c r="K243" s="104"/>
      <c r="L243" s="104"/>
      <c r="M243" s="104"/>
      <c r="N243" s="104">
        <v>241</v>
      </c>
      <c r="O243" s="104" t="str">
        <f t="shared" si="12"/>
        <v/>
      </c>
      <c r="P243" s="104" t="str">
        <f t="shared" si="13"/>
        <v/>
      </c>
      <c r="Q243" s="104" t="str">
        <f>IFERROR(INDEX($M$3:M$350, $P243, COLUMNS($Q$3:Q590)),"")</f>
        <v/>
      </c>
      <c r="R243" s="104"/>
      <c r="V243">
        <v>241</v>
      </c>
      <c r="W243" t="str">
        <f t="shared" si="14"/>
        <v/>
      </c>
      <c r="X243" t="str">
        <f t="shared" si="15"/>
        <v/>
      </c>
      <c r="Y243" s="108" t="str">
        <f>IFERROR(INDEX($T$3:U$352, $X243, COLUMNS($Y$3:Y243)), "")</f>
        <v/>
      </c>
      <c r="Z243" s="108" t="str">
        <f>IFERROR(INDEX($T$3:V$352, $X243, COLUMNS($Y$3:Z243)), "")</f>
        <v/>
      </c>
    </row>
    <row r="244" spans="11:26" x14ac:dyDescent="0.25">
      <c r="K244" s="104"/>
      <c r="L244" s="104"/>
      <c r="M244" s="104"/>
      <c r="N244" s="104">
        <v>242</v>
      </c>
      <c r="O244" s="104" t="str">
        <f t="shared" si="12"/>
        <v/>
      </c>
      <c r="P244" s="104" t="str">
        <f t="shared" si="13"/>
        <v/>
      </c>
      <c r="Q244" s="104" t="str">
        <f>IFERROR(INDEX($M$3:M$350, $P244, COLUMNS($Q$3:Q591)),"")</f>
        <v/>
      </c>
      <c r="R244" s="104"/>
      <c r="V244">
        <v>242</v>
      </c>
      <c r="W244" t="str">
        <f t="shared" si="14"/>
        <v/>
      </c>
      <c r="X244" t="str">
        <f t="shared" si="15"/>
        <v/>
      </c>
      <c r="Y244" s="108" t="str">
        <f>IFERROR(INDEX($T$3:U$352, $X244, COLUMNS($Y$3:Y244)), "")</f>
        <v/>
      </c>
      <c r="Z244" s="108" t="str">
        <f>IFERROR(INDEX($T$3:V$352, $X244, COLUMNS($Y$3:Z244)), "")</f>
        <v/>
      </c>
    </row>
    <row r="245" spans="11:26" x14ac:dyDescent="0.25">
      <c r="K245" s="104"/>
      <c r="L245" s="104"/>
      <c r="M245" s="104"/>
      <c r="N245" s="104">
        <v>243</v>
      </c>
      <c r="O245" s="104" t="str">
        <f t="shared" si="12"/>
        <v/>
      </c>
      <c r="P245" s="104" t="str">
        <f t="shared" si="13"/>
        <v/>
      </c>
      <c r="Q245" s="104" t="str">
        <f>IFERROR(INDEX($M$3:M$350, $P245, COLUMNS($Q$3:Q592)),"")</f>
        <v/>
      </c>
      <c r="R245" s="104"/>
      <c r="V245">
        <v>243</v>
      </c>
      <c r="W245" t="str">
        <f t="shared" si="14"/>
        <v/>
      </c>
      <c r="X245" t="str">
        <f t="shared" si="15"/>
        <v/>
      </c>
      <c r="Y245" s="108" t="str">
        <f>IFERROR(INDEX($T$3:U$352, $X245, COLUMNS($Y$3:Y245)), "")</f>
        <v/>
      </c>
      <c r="Z245" s="108" t="str">
        <f>IFERROR(INDEX($T$3:V$352, $X245, COLUMNS($Y$3:Z245)), "")</f>
        <v/>
      </c>
    </row>
    <row r="246" spans="11:26" x14ac:dyDescent="0.25">
      <c r="K246" s="104"/>
      <c r="L246" s="104"/>
      <c r="M246" s="104"/>
      <c r="N246" s="104">
        <v>244</v>
      </c>
      <c r="O246" s="104" t="str">
        <f t="shared" si="12"/>
        <v/>
      </c>
      <c r="P246" s="104" t="str">
        <f t="shared" si="13"/>
        <v/>
      </c>
      <c r="Q246" s="104" t="str">
        <f>IFERROR(INDEX($M$3:M$350, $P246, COLUMNS($Q$3:Q593)),"")</f>
        <v/>
      </c>
      <c r="R246" s="104"/>
      <c r="V246">
        <v>244</v>
      </c>
      <c r="W246" t="str">
        <f t="shared" si="14"/>
        <v/>
      </c>
      <c r="X246" t="str">
        <f t="shared" si="15"/>
        <v/>
      </c>
      <c r="Y246" s="108" t="str">
        <f>IFERROR(INDEX($T$3:U$352, $X246, COLUMNS($Y$3:Y246)), "")</f>
        <v/>
      </c>
      <c r="Z246" s="108" t="str">
        <f>IFERROR(INDEX($T$3:V$352, $X246, COLUMNS($Y$3:Z246)), "")</f>
        <v/>
      </c>
    </row>
    <row r="247" spans="11:26" x14ac:dyDescent="0.25">
      <c r="K247" s="104"/>
      <c r="L247" s="104"/>
      <c r="M247" s="104"/>
      <c r="N247" s="104">
        <v>245</v>
      </c>
      <c r="O247" s="104" t="str">
        <f t="shared" si="12"/>
        <v/>
      </c>
      <c r="P247" s="104" t="str">
        <f t="shared" si="13"/>
        <v/>
      </c>
      <c r="Q247" s="104" t="str">
        <f>IFERROR(INDEX($M$3:M$350, $P247, COLUMNS($Q$3:Q594)),"")</f>
        <v/>
      </c>
      <c r="R247" s="104"/>
      <c r="V247">
        <v>245</v>
      </c>
      <c r="W247" t="str">
        <f t="shared" si="14"/>
        <v/>
      </c>
      <c r="X247" t="str">
        <f t="shared" si="15"/>
        <v/>
      </c>
      <c r="Y247" s="108" t="str">
        <f>IFERROR(INDEX($T$3:U$352, $X247, COLUMNS($Y$3:Y247)), "")</f>
        <v/>
      </c>
      <c r="Z247" s="108" t="str">
        <f>IFERROR(INDEX($T$3:V$352, $X247, COLUMNS($Y$3:Z247)), "")</f>
        <v/>
      </c>
    </row>
    <row r="248" spans="11:26" x14ac:dyDescent="0.25">
      <c r="K248" s="104"/>
      <c r="L248" s="104"/>
      <c r="M248" s="104"/>
      <c r="N248" s="104">
        <v>246</v>
      </c>
      <c r="O248" s="104" t="str">
        <f t="shared" si="12"/>
        <v/>
      </c>
      <c r="P248" s="104" t="str">
        <f t="shared" si="13"/>
        <v/>
      </c>
      <c r="Q248" s="104" t="str">
        <f>IFERROR(INDEX($M$3:M$350, $P248, COLUMNS($Q$3:Q595)),"")</f>
        <v/>
      </c>
      <c r="R248" s="104"/>
      <c r="V248">
        <v>246</v>
      </c>
      <c r="W248" t="str">
        <f t="shared" si="14"/>
        <v/>
      </c>
      <c r="X248" t="str">
        <f t="shared" si="15"/>
        <v/>
      </c>
      <c r="Y248" s="108" t="str">
        <f>IFERROR(INDEX($T$3:U$352, $X248, COLUMNS($Y$3:Y248)), "")</f>
        <v/>
      </c>
      <c r="Z248" s="108" t="str">
        <f>IFERROR(INDEX($T$3:V$352, $X248, COLUMNS($Y$3:Z248)), "")</f>
        <v/>
      </c>
    </row>
    <row r="249" spans="11:26" x14ac:dyDescent="0.25">
      <c r="K249" s="104"/>
      <c r="L249" s="104"/>
      <c r="M249" s="104"/>
      <c r="N249" s="104">
        <v>247</v>
      </c>
      <c r="O249" s="104" t="str">
        <f t="shared" si="12"/>
        <v/>
      </c>
      <c r="P249" s="104" t="str">
        <f t="shared" si="13"/>
        <v/>
      </c>
      <c r="Q249" s="104" t="str">
        <f>IFERROR(INDEX($M$3:M$350, $P249, COLUMNS($Q$3:Q596)),"")</f>
        <v/>
      </c>
      <c r="R249" s="104"/>
      <c r="V249">
        <v>247</v>
      </c>
      <c r="W249" t="str">
        <f t="shared" si="14"/>
        <v/>
      </c>
      <c r="X249" t="str">
        <f t="shared" si="15"/>
        <v/>
      </c>
      <c r="Y249" s="108" t="str">
        <f>IFERROR(INDEX($T$3:U$352, $X249, COLUMNS($Y$3:Y249)), "")</f>
        <v/>
      </c>
      <c r="Z249" s="108" t="str">
        <f>IFERROR(INDEX($T$3:V$352, $X249, COLUMNS($Y$3:Z249)), "")</f>
        <v/>
      </c>
    </row>
    <row r="250" spans="11:26" x14ac:dyDescent="0.25">
      <c r="K250" s="104"/>
      <c r="L250" s="104"/>
      <c r="M250" s="104"/>
      <c r="N250" s="104">
        <v>248</v>
      </c>
      <c r="O250" s="104" t="str">
        <f t="shared" si="12"/>
        <v/>
      </c>
      <c r="P250" s="104" t="str">
        <f t="shared" si="13"/>
        <v/>
      </c>
      <c r="Q250" s="104" t="str">
        <f>IFERROR(INDEX($M$3:M$350, $P250, COLUMNS($Q$3:Q597)),"")</f>
        <v/>
      </c>
      <c r="R250" s="104"/>
      <c r="V250">
        <v>248</v>
      </c>
      <c r="W250" t="str">
        <f t="shared" si="14"/>
        <v/>
      </c>
      <c r="X250" t="str">
        <f t="shared" si="15"/>
        <v/>
      </c>
      <c r="Y250" s="108" t="str">
        <f>IFERROR(INDEX($T$3:U$352, $X250, COLUMNS($Y$3:Y250)), "")</f>
        <v/>
      </c>
      <c r="Z250" s="108" t="str">
        <f>IFERROR(INDEX($T$3:V$352, $X250, COLUMNS($Y$3:Z250)), "")</f>
        <v/>
      </c>
    </row>
    <row r="251" spans="11:26" x14ac:dyDescent="0.25">
      <c r="K251" s="104"/>
      <c r="L251" s="104"/>
      <c r="M251" s="104"/>
      <c r="N251" s="104">
        <v>249</v>
      </c>
      <c r="O251" s="104" t="str">
        <f t="shared" si="12"/>
        <v/>
      </c>
      <c r="P251" s="104" t="str">
        <f t="shared" si="13"/>
        <v/>
      </c>
      <c r="Q251" s="104" t="str">
        <f>IFERROR(INDEX($M$3:M$350, $P251, COLUMNS($Q$3:Q598)),"")</f>
        <v/>
      </c>
      <c r="R251" s="104"/>
      <c r="V251">
        <v>249</v>
      </c>
      <c r="W251" t="str">
        <f t="shared" si="14"/>
        <v/>
      </c>
      <c r="X251" t="str">
        <f t="shared" si="15"/>
        <v/>
      </c>
      <c r="Y251" s="108" t="str">
        <f>IFERROR(INDEX($T$3:U$352, $X251, COLUMNS($Y$3:Y251)), "")</f>
        <v/>
      </c>
      <c r="Z251" s="108" t="str">
        <f>IFERROR(INDEX($T$3:V$352, $X251, COLUMNS($Y$3:Z251)), "")</f>
        <v/>
      </c>
    </row>
    <row r="252" spans="11:26" x14ac:dyDescent="0.25">
      <c r="K252" s="104"/>
      <c r="L252" s="104"/>
      <c r="M252" s="104"/>
      <c r="N252" s="104">
        <v>250</v>
      </c>
      <c r="O252" s="104" t="str">
        <f t="shared" si="12"/>
        <v/>
      </c>
      <c r="P252" s="104" t="str">
        <f t="shared" si="13"/>
        <v/>
      </c>
      <c r="Q252" s="104" t="str">
        <f>IFERROR(INDEX($M$3:M$350, $P252, COLUMNS($Q$3:Q599)),"")</f>
        <v/>
      </c>
      <c r="R252" s="104"/>
      <c r="V252">
        <v>250</v>
      </c>
      <c r="W252" t="str">
        <f t="shared" si="14"/>
        <v/>
      </c>
      <c r="X252" t="str">
        <f t="shared" si="15"/>
        <v/>
      </c>
      <c r="Y252" s="108" t="str">
        <f>IFERROR(INDEX($T$3:U$352, $X252, COLUMNS($Y$3:Y252)), "")</f>
        <v/>
      </c>
      <c r="Z252" s="108" t="str">
        <f>IFERROR(INDEX($T$3:V$352, $X252, COLUMNS($Y$3:Z252)), "")</f>
        <v/>
      </c>
    </row>
    <row r="253" spans="11:26" x14ac:dyDescent="0.25">
      <c r="K253" s="104"/>
      <c r="L253" s="104"/>
      <c r="M253" s="104"/>
      <c r="N253" s="104">
        <v>251</v>
      </c>
      <c r="O253" s="104" t="str">
        <f t="shared" si="12"/>
        <v/>
      </c>
      <c r="P253" s="104" t="str">
        <f t="shared" si="13"/>
        <v/>
      </c>
      <c r="Q253" s="104" t="str">
        <f>IFERROR(INDEX($M$3:M$350, $P253, COLUMNS($Q$3:Q600)),"")</f>
        <v/>
      </c>
      <c r="R253" s="104"/>
      <c r="V253">
        <v>251</v>
      </c>
      <c r="W253" t="str">
        <f t="shared" si="14"/>
        <v/>
      </c>
      <c r="X253" t="str">
        <f t="shared" si="15"/>
        <v/>
      </c>
      <c r="Y253" s="108" t="str">
        <f>IFERROR(INDEX($T$3:U$352, $X253, COLUMNS($Y$3:Y253)), "")</f>
        <v/>
      </c>
      <c r="Z253" s="108" t="str">
        <f>IFERROR(INDEX($T$3:V$352, $X253, COLUMNS($Y$3:Z253)), "")</f>
        <v/>
      </c>
    </row>
    <row r="254" spans="11:26" x14ac:dyDescent="0.25">
      <c r="K254" s="104"/>
      <c r="L254" s="104"/>
      <c r="M254" s="104"/>
      <c r="N254" s="104">
        <v>252</v>
      </c>
      <c r="O254" s="104" t="str">
        <f t="shared" si="12"/>
        <v/>
      </c>
      <c r="P254" s="104" t="str">
        <f t="shared" si="13"/>
        <v/>
      </c>
      <c r="Q254" s="104" t="str">
        <f>IFERROR(INDEX($M$3:M$350, $P254, COLUMNS($Q$3:Q601)),"")</f>
        <v/>
      </c>
      <c r="R254" s="104"/>
      <c r="V254">
        <v>252</v>
      </c>
      <c r="W254" t="str">
        <f t="shared" si="14"/>
        <v/>
      </c>
      <c r="X254" t="str">
        <f t="shared" si="15"/>
        <v/>
      </c>
      <c r="Y254" s="108" t="str">
        <f>IFERROR(INDEX($T$3:U$352, $X254, COLUMNS($Y$3:Y254)), "")</f>
        <v/>
      </c>
      <c r="Z254" s="108" t="str">
        <f>IFERROR(INDEX($T$3:V$352, $X254, COLUMNS($Y$3:Z254)), "")</f>
        <v/>
      </c>
    </row>
    <row r="255" spans="11:26" x14ac:dyDescent="0.25">
      <c r="K255" s="104"/>
      <c r="L255" s="104"/>
      <c r="M255" s="104"/>
      <c r="N255" s="104">
        <v>253</v>
      </c>
      <c r="O255" s="104" t="str">
        <f t="shared" si="12"/>
        <v/>
      </c>
      <c r="P255" s="104" t="str">
        <f t="shared" si="13"/>
        <v/>
      </c>
      <c r="Q255" s="104" t="str">
        <f>IFERROR(INDEX($M$3:M$350, $P255, COLUMNS($Q$3:Q602)),"")</f>
        <v/>
      </c>
      <c r="R255" s="104"/>
      <c r="V255">
        <v>253</v>
      </c>
      <c r="W255" t="str">
        <f t="shared" si="14"/>
        <v/>
      </c>
      <c r="X255" t="str">
        <f t="shared" si="15"/>
        <v/>
      </c>
      <c r="Y255" s="108" t="str">
        <f>IFERROR(INDEX($T$3:U$352, $X255, COLUMNS($Y$3:Y255)), "")</f>
        <v/>
      </c>
      <c r="Z255" s="108" t="str">
        <f>IFERROR(INDEX($T$3:V$352, $X255, COLUMNS($Y$3:Z255)), "")</f>
        <v/>
      </c>
    </row>
    <row r="256" spans="11:26" x14ac:dyDescent="0.25">
      <c r="K256" s="104"/>
      <c r="L256" s="104"/>
      <c r="M256" s="104"/>
      <c r="N256" s="104">
        <v>254</v>
      </c>
      <c r="O256" s="104" t="str">
        <f t="shared" si="12"/>
        <v/>
      </c>
      <c r="P256" s="104" t="str">
        <f t="shared" si="13"/>
        <v/>
      </c>
      <c r="Q256" s="104" t="str">
        <f>IFERROR(INDEX($M$3:M$350, $P256, COLUMNS($Q$3:Q603)),"")</f>
        <v/>
      </c>
      <c r="R256" s="104"/>
      <c r="V256">
        <v>254</v>
      </c>
      <c r="W256" t="str">
        <f t="shared" si="14"/>
        <v/>
      </c>
      <c r="X256" t="str">
        <f t="shared" si="15"/>
        <v/>
      </c>
      <c r="Y256" s="108" t="str">
        <f>IFERROR(INDEX($T$3:U$352, $X256, COLUMNS($Y$3:Y256)), "")</f>
        <v/>
      </c>
      <c r="Z256" s="108" t="str">
        <f>IFERROR(INDEX($T$3:V$352, $X256, COLUMNS($Y$3:Z256)), "")</f>
        <v/>
      </c>
    </row>
    <row r="257" spans="11:26" x14ac:dyDescent="0.25">
      <c r="K257" s="104"/>
      <c r="L257" s="104"/>
      <c r="M257" s="104"/>
      <c r="N257" s="104">
        <v>255</v>
      </c>
      <c r="O257" s="104" t="str">
        <f t="shared" si="12"/>
        <v/>
      </c>
      <c r="P257" s="104" t="str">
        <f t="shared" si="13"/>
        <v/>
      </c>
      <c r="Q257" s="104" t="str">
        <f>IFERROR(INDEX($M$3:M$350, $P257, COLUMNS($Q$3:Q604)),"")</f>
        <v/>
      </c>
      <c r="R257" s="104"/>
      <c r="V257">
        <v>255</v>
      </c>
      <c r="W257" t="str">
        <f t="shared" si="14"/>
        <v/>
      </c>
      <c r="X257" t="str">
        <f t="shared" si="15"/>
        <v/>
      </c>
      <c r="Y257" s="108" t="str">
        <f>IFERROR(INDEX($T$3:U$352, $X257, COLUMNS($Y$3:Y257)), "")</f>
        <v/>
      </c>
      <c r="Z257" s="108" t="str">
        <f>IFERROR(INDEX($T$3:V$352, $X257, COLUMNS($Y$3:Z257)), "")</f>
        <v/>
      </c>
    </row>
    <row r="258" spans="11:26" x14ac:dyDescent="0.25">
      <c r="K258" s="104"/>
      <c r="L258" s="104"/>
      <c r="M258" s="104"/>
      <c r="N258" s="104">
        <v>256</v>
      </c>
      <c r="O258" s="104" t="str">
        <f t="shared" si="12"/>
        <v/>
      </c>
      <c r="P258" s="104" t="str">
        <f t="shared" si="13"/>
        <v/>
      </c>
      <c r="Q258" s="104" t="str">
        <f>IFERROR(INDEX($M$3:M$350, $P258, COLUMNS($Q$3:Q605)),"")</f>
        <v/>
      </c>
      <c r="R258" s="104"/>
      <c r="V258">
        <v>256</v>
      </c>
      <c r="W258" t="str">
        <f t="shared" si="14"/>
        <v/>
      </c>
      <c r="X258" t="str">
        <f t="shared" si="15"/>
        <v/>
      </c>
      <c r="Y258" s="108" t="str">
        <f>IFERROR(INDEX($T$3:U$352, $X258, COLUMNS($Y$3:Y258)), "")</f>
        <v/>
      </c>
      <c r="Z258" s="108" t="str">
        <f>IFERROR(INDEX($T$3:V$352, $X258, COLUMNS($Y$3:Z258)), "")</f>
        <v/>
      </c>
    </row>
    <row r="259" spans="11:26" x14ac:dyDescent="0.25">
      <c r="K259" s="104"/>
      <c r="L259" s="104"/>
      <c r="M259" s="104"/>
      <c r="N259" s="104">
        <v>257</v>
      </c>
      <c r="O259" s="104" t="str">
        <f t="shared" si="12"/>
        <v/>
      </c>
      <c r="P259" s="104" t="str">
        <f t="shared" si="13"/>
        <v/>
      </c>
      <c r="Q259" s="104" t="str">
        <f>IFERROR(INDEX($M$3:M$350, $P259, COLUMNS($Q$3:Q606)),"")</f>
        <v/>
      </c>
      <c r="R259" s="104"/>
      <c r="V259">
        <v>257</v>
      </c>
      <c r="W259" t="str">
        <f t="shared" si="14"/>
        <v/>
      </c>
      <c r="X259" t="str">
        <f t="shared" si="15"/>
        <v/>
      </c>
      <c r="Y259" s="108" t="str">
        <f>IFERROR(INDEX($T$3:U$352, $X259, COLUMNS($Y$3:Y259)), "")</f>
        <v/>
      </c>
      <c r="Z259" s="108" t="str">
        <f>IFERROR(INDEX($T$3:V$352, $X259, COLUMNS($Y$3:Z259)), "")</f>
        <v/>
      </c>
    </row>
    <row r="260" spans="11:26" x14ac:dyDescent="0.25">
      <c r="K260" s="104"/>
      <c r="L260" s="104"/>
      <c r="M260" s="104"/>
      <c r="N260" s="104">
        <v>258</v>
      </c>
      <c r="O260" s="104" t="str">
        <f t="shared" ref="O260:O323" si="16">IF(ISNUMBER(SEARCH($K$4, L260)), N260, "")</f>
        <v/>
      </c>
      <c r="P260" s="104" t="str">
        <f t="shared" ref="P260:P323" si="17">IFERROR(SMALL($O$3:$O$352, N260), "")</f>
        <v/>
      </c>
      <c r="Q260" s="104" t="str">
        <f>IFERROR(INDEX($M$3:M$350, $P260, COLUMNS($Q$3:Q607)),"")</f>
        <v/>
      </c>
      <c r="R260" s="104"/>
      <c r="V260">
        <v>258</v>
      </c>
      <c r="W260" t="str">
        <f t="shared" ref="W260:W323" si="18">IF(ISNUMBER(SEARCH($R$3, S260)), V260, "")</f>
        <v/>
      </c>
      <c r="X260" t="str">
        <f t="shared" si="15"/>
        <v/>
      </c>
      <c r="Y260" s="108" t="str">
        <f>IFERROR(INDEX($T$3:U$352, $X260, COLUMNS($Y$3:Y260)), "")</f>
        <v/>
      </c>
      <c r="Z260" s="108" t="str">
        <f>IFERROR(INDEX($T$3:V$352, $X260, COLUMNS($Y$3:Z260)), "")</f>
        <v/>
      </c>
    </row>
    <row r="261" spans="11:26" x14ac:dyDescent="0.25">
      <c r="K261" s="104"/>
      <c r="L261" s="104"/>
      <c r="M261" s="104"/>
      <c r="N261" s="104">
        <v>259</v>
      </c>
      <c r="O261" s="104" t="str">
        <f t="shared" si="16"/>
        <v/>
      </c>
      <c r="P261" s="104" t="str">
        <f t="shared" si="17"/>
        <v/>
      </c>
      <c r="Q261" s="104" t="str">
        <f>IFERROR(INDEX($M$3:M$350, $P261, COLUMNS($Q$3:Q608)),"")</f>
        <v/>
      </c>
      <c r="R261" s="104"/>
      <c r="V261">
        <v>259</v>
      </c>
      <c r="W261" t="str">
        <f t="shared" si="18"/>
        <v/>
      </c>
      <c r="X261" t="str">
        <f t="shared" ref="X261:X324" si="19">IFERROR(SMALL($W$3:$W$165, V261), "")</f>
        <v/>
      </c>
      <c r="Y261" s="108" t="str">
        <f>IFERROR(INDEX($T$3:U$352, $X261, COLUMNS($Y$3:Y261)), "")</f>
        <v/>
      </c>
      <c r="Z261" s="108" t="str">
        <f>IFERROR(INDEX($T$3:V$352, $X261, COLUMNS($Y$3:Z261)), "")</f>
        <v/>
      </c>
    </row>
    <row r="262" spans="11:26" x14ac:dyDescent="0.25">
      <c r="K262" s="104"/>
      <c r="L262" s="104"/>
      <c r="M262" s="104"/>
      <c r="N262" s="104">
        <v>260</v>
      </c>
      <c r="O262" s="104" t="str">
        <f t="shared" si="16"/>
        <v/>
      </c>
      <c r="P262" s="104" t="str">
        <f t="shared" si="17"/>
        <v/>
      </c>
      <c r="Q262" s="104" t="str">
        <f>IFERROR(INDEX($M$3:M$350, $P262, COLUMNS($Q$3:Q609)),"")</f>
        <v/>
      </c>
      <c r="R262" s="104"/>
      <c r="V262">
        <v>260</v>
      </c>
      <c r="W262" t="str">
        <f t="shared" si="18"/>
        <v/>
      </c>
      <c r="X262" t="str">
        <f t="shared" si="19"/>
        <v/>
      </c>
      <c r="Y262" s="108" t="str">
        <f>IFERROR(INDEX($T$3:U$352, $X262, COLUMNS($Y$3:Y262)), "")</f>
        <v/>
      </c>
      <c r="Z262" s="108" t="str">
        <f>IFERROR(INDEX($T$3:V$352, $X262, COLUMNS($Y$3:Z262)), "")</f>
        <v/>
      </c>
    </row>
    <row r="263" spans="11:26" x14ac:dyDescent="0.25">
      <c r="K263" s="104"/>
      <c r="L263" s="104"/>
      <c r="M263" s="104"/>
      <c r="N263" s="104">
        <v>261</v>
      </c>
      <c r="O263" s="104" t="str">
        <f t="shared" si="16"/>
        <v/>
      </c>
      <c r="P263" s="104" t="str">
        <f t="shared" si="17"/>
        <v/>
      </c>
      <c r="Q263" s="104" t="str">
        <f>IFERROR(INDEX($M$3:M$350, $P263, COLUMNS($Q$3:Q610)),"")</f>
        <v/>
      </c>
      <c r="R263" s="104"/>
      <c r="V263">
        <v>261</v>
      </c>
      <c r="W263" t="str">
        <f t="shared" si="18"/>
        <v/>
      </c>
      <c r="X263" t="str">
        <f t="shared" si="19"/>
        <v/>
      </c>
      <c r="Y263" s="108" t="str">
        <f>IFERROR(INDEX($T$3:U$352, $X263, COLUMNS($Y$3:Y263)), "")</f>
        <v/>
      </c>
      <c r="Z263" s="108" t="str">
        <f>IFERROR(INDEX($T$3:V$352, $X263, COLUMNS($Y$3:Z263)), "")</f>
        <v/>
      </c>
    </row>
    <row r="264" spans="11:26" x14ac:dyDescent="0.25">
      <c r="K264" s="104"/>
      <c r="L264" s="104"/>
      <c r="M264" s="104"/>
      <c r="N264" s="104">
        <v>262</v>
      </c>
      <c r="O264" s="104" t="str">
        <f t="shared" si="16"/>
        <v/>
      </c>
      <c r="P264" s="104" t="str">
        <f t="shared" si="17"/>
        <v/>
      </c>
      <c r="Q264" s="104" t="str">
        <f>IFERROR(INDEX($M$3:M$350, $P264, COLUMNS($Q$3:Q611)),"")</f>
        <v/>
      </c>
      <c r="R264" s="104"/>
      <c r="V264">
        <v>262</v>
      </c>
      <c r="W264" t="str">
        <f t="shared" si="18"/>
        <v/>
      </c>
      <c r="X264" t="str">
        <f t="shared" si="19"/>
        <v/>
      </c>
      <c r="Y264" s="108" t="str">
        <f>IFERROR(INDEX($T$3:U$352, $X264, COLUMNS($Y$3:Y264)), "")</f>
        <v/>
      </c>
      <c r="Z264" s="108" t="str">
        <f>IFERROR(INDEX($T$3:V$352, $X264, COLUMNS($Y$3:Z264)), "")</f>
        <v/>
      </c>
    </row>
    <row r="265" spans="11:26" x14ac:dyDescent="0.25">
      <c r="K265" s="104"/>
      <c r="L265" s="104"/>
      <c r="M265" s="104"/>
      <c r="N265" s="104">
        <v>263</v>
      </c>
      <c r="O265" s="104" t="str">
        <f t="shared" si="16"/>
        <v/>
      </c>
      <c r="P265" s="104" t="str">
        <f t="shared" si="17"/>
        <v/>
      </c>
      <c r="Q265" s="104" t="str">
        <f>IFERROR(INDEX($M$3:M$350, $P265, COLUMNS($Q$3:Q612)),"")</f>
        <v/>
      </c>
      <c r="R265" s="104"/>
      <c r="V265">
        <v>263</v>
      </c>
      <c r="W265" t="str">
        <f t="shared" si="18"/>
        <v/>
      </c>
      <c r="X265" t="str">
        <f t="shared" si="19"/>
        <v/>
      </c>
      <c r="Y265" s="108" t="str">
        <f>IFERROR(INDEX($T$3:U$352, $X265, COLUMNS($Y$3:Y265)), "")</f>
        <v/>
      </c>
      <c r="Z265" s="108" t="str">
        <f>IFERROR(INDEX($T$3:V$352, $X265, COLUMNS($Y$3:Z265)), "")</f>
        <v/>
      </c>
    </row>
    <row r="266" spans="11:26" x14ac:dyDescent="0.25">
      <c r="K266" s="104"/>
      <c r="L266" s="104"/>
      <c r="M266" s="104"/>
      <c r="N266" s="104">
        <v>264</v>
      </c>
      <c r="O266" s="104" t="str">
        <f t="shared" si="16"/>
        <v/>
      </c>
      <c r="P266" s="104" t="str">
        <f t="shared" si="17"/>
        <v/>
      </c>
      <c r="Q266" s="104" t="str">
        <f>IFERROR(INDEX($M$3:M$350, $P266, COLUMNS($Q$3:Q613)),"")</f>
        <v/>
      </c>
      <c r="R266" s="104"/>
      <c r="V266">
        <v>264</v>
      </c>
      <c r="W266" t="str">
        <f t="shared" si="18"/>
        <v/>
      </c>
      <c r="X266" t="str">
        <f t="shared" si="19"/>
        <v/>
      </c>
      <c r="Y266" s="108" t="str">
        <f>IFERROR(INDEX($T$3:U$352, $X266, COLUMNS($Y$3:Y266)), "")</f>
        <v/>
      </c>
      <c r="Z266" s="108" t="str">
        <f>IFERROR(INDEX($T$3:V$352, $X266, COLUMNS($Y$3:Z266)), "")</f>
        <v/>
      </c>
    </row>
    <row r="267" spans="11:26" x14ac:dyDescent="0.25">
      <c r="K267" s="104"/>
      <c r="L267" s="104"/>
      <c r="M267" s="104"/>
      <c r="N267" s="104">
        <v>265</v>
      </c>
      <c r="O267" s="104" t="str">
        <f t="shared" si="16"/>
        <v/>
      </c>
      <c r="P267" s="104" t="str">
        <f t="shared" si="17"/>
        <v/>
      </c>
      <c r="Q267" s="104" t="str">
        <f>IFERROR(INDEX($M$3:M$350, $P267, COLUMNS($Q$3:Q614)),"")</f>
        <v/>
      </c>
      <c r="R267" s="104"/>
      <c r="V267">
        <v>265</v>
      </c>
      <c r="W267" t="str">
        <f t="shared" si="18"/>
        <v/>
      </c>
      <c r="X267" t="str">
        <f t="shared" si="19"/>
        <v/>
      </c>
      <c r="Y267" s="108" t="str">
        <f>IFERROR(INDEX($T$3:U$352, $X267, COLUMNS($Y$3:Y267)), "")</f>
        <v/>
      </c>
      <c r="Z267" s="108" t="str">
        <f>IFERROR(INDEX($T$3:V$352, $X267, COLUMNS($Y$3:Z267)), "")</f>
        <v/>
      </c>
    </row>
    <row r="268" spans="11:26" x14ac:dyDescent="0.25">
      <c r="K268" s="104"/>
      <c r="L268" s="104"/>
      <c r="M268" s="104"/>
      <c r="N268" s="104">
        <v>266</v>
      </c>
      <c r="O268" s="104" t="str">
        <f t="shared" si="16"/>
        <v/>
      </c>
      <c r="P268" s="104" t="str">
        <f t="shared" si="17"/>
        <v/>
      </c>
      <c r="Q268" s="104" t="str">
        <f>IFERROR(INDEX($M$3:M$350, $P268, COLUMNS($Q$3:Q615)),"")</f>
        <v/>
      </c>
      <c r="R268" s="104"/>
      <c r="V268">
        <v>266</v>
      </c>
      <c r="W268" t="str">
        <f t="shared" si="18"/>
        <v/>
      </c>
      <c r="X268" t="str">
        <f t="shared" si="19"/>
        <v/>
      </c>
      <c r="Y268" s="108" t="str">
        <f>IFERROR(INDEX($T$3:U$352, $X268, COLUMNS($Y$3:Y268)), "")</f>
        <v/>
      </c>
      <c r="Z268" s="108" t="str">
        <f>IFERROR(INDEX($T$3:V$352, $X268, COLUMNS($Y$3:Z268)), "")</f>
        <v/>
      </c>
    </row>
    <row r="269" spans="11:26" x14ac:dyDescent="0.25">
      <c r="K269" s="104"/>
      <c r="L269" s="104"/>
      <c r="M269" s="104"/>
      <c r="N269" s="104">
        <v>267</v>
      </c>
      <c r="O269" s="104" t="str">
        <f t="shared" si="16"/>
        <v/>
      </c>
      <c r="P269" s="104" t="str">
        <f t="shared" si="17"/>
        <v/>
      </c>
      <c r="Q269" s="104" t="str">
        <f>IFERROR(INDEX($M$3:M$350, $P269, COLUMNS($Q$3:Q616)),"")</f>
        <v/>
      </c>
      <c r="R269" s="104"/>
      <c r="V269">
        <v>267</v>
      </c>
      <c r="W269" t="str">
        <f t="shared" si="18"/>
        <v/>
      </c>
      <c r="X269" t="str">
        <f t="shared" si="19"/>
        <v/>
      </c>
      <c r="Y269" s="108" t="str">
        <f>IFERROR(INDEX($T$3:U$352, $X269, COLUMNS($Y$3:Y269)), "")</f>
        <v/>
      </c>
      <c r="Z269" s="108" t="str">
        <f>IFERROR(INDEX($T$3:V$352, $X269, COLUMNS($Y$3:Z269)), "")</f>
        <v/>
      </c>
    </row>
    <row r="270" spans="11:26" x14ac:dyDescent="0.25">
      <c r="K270" s="104"/>
      <c r="L270" s="104"/>
      <c r="M270" s="104"/>
      <c r="N270" s="104">
        <v>268</v>
      </c>
      <c r="O270" s="104" t="str">
        <f t="shared" si="16"/>
        <v/>
      </c>
      <c r="P270" s="104" t="str">
        <f t="shared" si="17"/>
        <v/>
      </c>
      <c r="Q270" s="104" t="str">
        <f>IFERROR(INDEX($M$3:M$350, $P270, COLUMNS($Q$3:Q617)),"")</f>
        <v/>
      </c>
      <c r="R270" s="104"/>
      <c r="V270">
        <v>268</v>
      </c>
      <c r="W270" t="str">
        <f t="shared" si="18"/>
        <v/>
      </c>
      <c r="X270" t="str">
        <f t="shared" si="19"/>
        <v/>
      </c>
      <c r="Y270" s="108" t="str">
        <f>IFERROR(INDEX($T$3:U$352, $X270, COLUMNS($Y$3:Y270)), "")</f>
        <v/>
      </c>
      <c r="Z270" s="108" t="str">
        <f>IFERROR(INDEX($T$3:V$352, $X270, COLUMNS($Y$3:Z270)), "")</f>
        <v/>
      </c>
    </row>
    <row r="271" spans="11:26" x14ac:dyDescent="0.25">
      <c r="K271" s="104"/>
      <c r="L271" s="104"/>
      <c r="M271" s="104"/>
      <c r="N271" s="104">
        <v>269</v>
      </c>
      <c r="O271" s="104" t="str">
        <f t="shared" si="16"/>
        <v/>
      </c>
      <c r="P271" s="104" t="str">
        <f t="shared" si="17"/>
        <v/>
      </c>
      <c r="Q271" s="104" t="str">
        <f>IFERROR(INDEX($M$3:M$350, $P271, COLUMNS($Q$3:Q618)),"")</f>
        <v/>
      </c>
      <c r="R271" s="104"/>
      <c r="V271">
        <v>269</v>
      </c>
      <c r="W271" t="str">
        <f t="shared" si="18"/>
        <v/>
      </c>
      <c r="X271" t="str">
        <f t="shared" si="19"/>
        <v/>
      </c>
      <c r="Y271" s="108" t="str">
        <f>IFERROR(INDEX($T$3:U$352, $X271, COLUMNS($Y$3:Y271)), "")</f>
        <v/>
      </c>
      <c r="Z271" s="108" t="str">
        <f>IFERROR(INDEX($T$3:V$352, $X271, COLUMNS($Y$3:Z271)), "")</f>
        <v/>
      </c>
    </row>
    <row r="272" spans="11:26" x14ac:dyDescent="0.25">
      <c r="K272" s="104"/>
      <c r="L272" s="104"/>
      <c r="M272" s="104"/>
      <c r="N272" s="104">
        <v>270</v>
      </c>
      <c r="O272" s="104" t="str">
        <f t="shared" si="16"/>
        <v/>
      </c>
      <c r="P272" s="104" t="str">
        <f t="shared" si="17"/>
        <v/>
      </c>
      <c r="Q272" s="104" t="str">
        <f>IFERROR(INDEX($M$3:M$350, $P272, COLUMNS($Q$3:Q619)),"")</f>
        <v/>
      </c>
      <c r="R272" s="104"/>
      <c r="V272">
        <v>270</v>
      </c>
      <c r="W272" t="str">
        <f t="shared" si="18"/>
        <v/>
      </c>
      <c r="X272" t="str">
        <f t="shared" si="19"/>
        <v/>
      </c>
      <c r="Y272" s="108" t="str">
        <f>IFERROR(INDEX($T$3:U$352, $X272, COLUMNS($Y$3:Y272)), "")</f>
        <v/>
      </c>
      <c r="Z272" s="108" t="str">
        <f>IFERROR(INDEX($T$3:V$352, $X272, COLUMNS($Y$3:Z272)), "")</f>
        <v/>
      </c>
    </row>
    <row r="273" spans="11:26" x14ac:dyDescent="0.25">
      <c r="K273" s="104"/>
      <c r="L273" s="104"/>
      <c r="M273" s="104"/>
      <c r="N273" s="104">
        <v>271</v>
      </c>
      <c r="O273" s="104" t="str">
        <f t="shared" si="16"/>
        <v/>
      </c>
      <c r="P273" s="104" t="str">
        <f t="shared" si="17"/>
        <v/>
      </c>
      <c r="Q273" s="104" t="str">
        <f>IFERROR(INDEX($M$3:M$350, $P273, COLUMNS($Q$3:Q620)),"")</f>
        <v/>
      </c>
      <c r="R273" s="104"/>
      <c r="V273">
        <v>271</v>
      </c>
      <c r="W273" t="str">
        <f t="shared" si="18"/>
        <v/>
      </c>
      <c r="X273" t="str">
        <f t="shared" si="19"/>
        <v/>
      </c>
      <c r="Y273" s="108" t="str">
        <f>IFERROR(INDEX($T$3:U$352, $X273, COLUMNS($Y$3:Y273)), "")</f>
        <v/>
      </c>
      <c r="Z273" s="108" t="str">
        <f>IFERROR(INDEX($T$3:V$352, $X273, COLUMNS($Y$3:Z273)), "")</f>
        <v/>
      </c>
    </row>
    <row r="274" spans="11:26" x14ac:dyDescent="0.25">
      <c r="K274" s="104"/>
      <c r="L274" s="104"/>
      <c r="M274" s="104"/>
      <c r="N274" s="104">
        <v>272</v>
      </c>
      <c r="O274" s="104" t="str">
        <f t="shared" si="16"/>
        <v/>
      </c>
      <c r="P274" s="104" t="str">
        <f t="shared" si="17"/>
        <v/>
      </c>
      <c r="Q274" s="104" t="str">
        <f>IFERROR(INDEX($M$3:M$350, $P274, COLUMNS($Q$3:Q621)),"")</f>
        <v/>
      </c>
      <c r="R274" s="104"/>
      <c r="V274">
        <v>272</v>
      </c>
      <c r="W274" t="str">
        <f t="shared" si="18"/>
        <v/>
      </c>
      <c r="X274" t="str">
        <f t="shared" si="19"/>
        <v/>
      </c>
      <c r="Y274" s="108" t="str">
        <f>IFERROR(INDEX($T$3:U$352, $X274, COLUMNS($Y$3:Y274)), "")</f>
        <v/>
      </c>
      <c r="Z274" s="108" t="str">
        <f>IFERROR(INDEX($T$3:V$352, $X274, COLUMNS($Y$3:Z274)), "")</f>
        <v/>
      </c>
    </row>
    <row r="275" spans="11:26" x14ac:dyDescent="0.25">
      <c r="K275" s="104"/>
      <c r="L275" s="104"/>
      <c r="M275" s="104"/>
      <c r="N275" s="104">
        <v>273</v>
      </c>
      <c r="O275" s="104" t="str">
        <f t="shared" si="16"/>
        <v/>
      </c>
      <c r="P275" s="104" t="str">
        <f t="shared" si="17"/>
        <v/>
      </c>
      <c r="Q275" s="104" t="str">
        <f>IFERROR(INDEX($M$3:M$350, $P275, COLUMNS($Q$3:Q622)),"")</f>
        <v/>
      </c>
      <c r="R275" s="104"/>
      <c r="V275">
        <v>273</v>
      </c>
      <c r="W275" t="str">
        <f t="shared" si="18"/>
        <v/>
      </c>
      <c r="X275" t="str">
        <f t="shared" si="19"/>
        <v/>
      </c>
      <c r="Y275" s="108" t="str">
        <f>IFERROR(INDEX($T$3:U$352, $X275, COLUMNS($Y$3:Y275)), "")</f>
        <v/>
      </c>
      <c r="Z275" s="108" t="str">
        <f>IFERROR(INDEX($T$3:V$352, $X275, COLUMNS($Y$3:Z275)), "")</f>
        <v/>
      </c>
    </row>
    <row r="276" spans="11:26" x14ac:dyDescent="0.25">
      <c r="K276" s="104"/>
      <c r="L276" s="104"/>
      <c r="M276" s="104"/>
      <c r="N276" s="104">
        <v>274</v>
      </c>
      <c r="O276" s="104" t="str">
        <f t="shared" si="16"/>
        <v/>
      </c>
      <c r="P276" s="104" t="str">
        <f t="shared" si="17"/>
        <v/>
      </c>
      <c r="Q276" s="104" t="str">
        <f>IFERROR(INDEX($M$3:M$350, $P276, COLUMNS($Q$3:Q623)),"")</f>
        <v/>
      </c>
      <c r="R276" s="104"/>
      <c r="V276">
        <v>274</v>
      </c>
      <c r="W276" t="str">
        <f t="shared" si="18"/>
        <v/>
      </c>
      <c r="X276" t="str">
        <f t="shared" si="19"/>
        <v/>
      </c>
      <c r="Y276" s="108" t="str">
        <f>IFERROR(INDEX($T$3:U$352, $X276, COLUMNS($Y$3:Y276)), "")</f>
        <v/>
      </c>
      <c r="Z276" s="108" t="str">
        <f>IFERROR(INDEX($T$3:V$352, $X276, COLUMNS($Y$3:Z276)), "")</f>
        <v/>
      </c>
    </row>
    <row r="277" spans="11:26" x14ac:dyDescent="0.25">
      <c r="K277" s="104"/>
      <c r="L277" s="104"/>
      <c r="M277" s="104"/>
      <c r="N277" s="104">
        <v>275</v>
      </c>
      <c r="O277" s="104" t="str">
        <f t="shared" si="16"/>
        <v/>
      </c>
      <c r="P277" s="104" t="str">
        <f t="shared" si="17"/>
        <v/>
      </c>
      <c r="Q277" s="104" t="str">
        <f>IFERROR(INDEX($M$3:M$350, $P277, COLUMNS($Q$3:Q624)),"")</f>
        <v/>
      </c>
      <c r="R277" s="104"/>
      <c r="V277">
        <v>275</v>
      </c>
      <c r="W277" t="str">
        <f t="shared" si="18"/>
        <v/>
      </c>
      <c r="X277" t="str">
        <f t="shared" si="19"/>
        <v/>
      </c>
      <c r="Y277" s="108" t="str">
        <f>IFERROR(INDEX($T$3:U$352, $X277, COLUMNS($Y$3:Y277)), "")</f>
        <v/>
      </c>
      <c r="Z277" s="108" t="str">
        <f>IFERROR(INDEX($T$3:V$352, $X277, COLUMNS($Y$3:Z277)), "")</f>
        <v/>
      </c>
    </row>
    <row r="278" spans="11:26" x14ac:dyDescent="0.25">
      <c r="K278" s="104"/>
      <c r="L278" s="104"/>
      <c r="M278" s="104"/>
      <c r="N278" s="104">
        <v>276</v>
      </c>
      <c r="O278" s="104" t="str">
        <f t="shared" si="16"/>
        <v/>
      </c>
      <c r="P278" s="104" t="str">
        <f t="shared" si="17"/>
        <v/>
      </c>
      <c r="Q278" s="104" t="str">
        <f>IFERROR(INDEX($M$3:M$350, $P278, COLUMNS($Q$3:Q625)),"")</f>
        <v/>
      </c>
      <c r="R278" s="104"/>
      <c r="V278">
        <v>276</v>
      </c>
      <c r="W278" t="str">
        <f t="shared" si="18"/>
        <v/>
      </c>
      <c r="X278" t="str">
        <f t="shared" si="19"/>
        <v/>
      </c>
      <c r="Y278" s="108" t="str">
        <f>IFERROR(INDEX($T$3:U$352, $X278, COLUMNS($Y$3:Y278)), "")</f>
        <v/>
      </c>
      <c r="Z278" s="108" t="str">
        <f>IFERROR(INDEX($T$3:V$352, $X278, COLUMNS($Y$3:Z278)), "")</f>
        <v/>
      </c>
    </row>
    <row r="279" spans="11:26" x14ac:dyDescent="0.25">
      <c r="K279" s="104"/>
      <c r="L279" s="104"/>
      <c r="M279" s="104"/>
      <c r="N279" s="104">
        <v>277</v>
      </c>
      <c r="O279" s="104" t="str">
        <f t="shared" si="16"/>
        <v/>
      </c>
      <c r="P279" s="104" t="str">
        <f t="shared" si="17"/>
        <v/>
      </c>
      <c r="Q279" s="104" t="str">
        <f>IFERROR(INDEX($M$3:M$350, $P279, COLUMNS($Q$3:Q626)),"")</f>
        <v/>
      </c>
      <c r="R279" s="104"/>
      <c r="V279">
        <v>277</v>
      </c>
      <c r="W279" t="str">
        <f t="shared" si="18"/>
        <v/>
      </c>
      <c r="X279" t="str">
        <f t="shared" si="19"/>
        <v/>
      </c>
      <c r="Y279" s="108" t="str">
        <f>IFERROR(INDEX($T$3:U$352, $X279, COLUMNS($Y$3:Y279)), "")</f>
        <v/>
      </c>
      <c r="Z279" s="108" t="str">
        <f>IFERROR(INDEX($T$3:V$352, $X279, COLUMNS($Y$3:Z279)), "")</f>
        <v/>
      </c>
    </row>
    <row r="280" spans="11:26" x14ac:dyDescent="0.25">
      <c r="K280" s="104"/>
      <c r="L280" s="104"/>
      <c r="M280" s="104"/>
      <c r="N280" s="104">
        <v>278</v>
      </c>
      <c r="O280" s="104" t="str">
        <f t="shared" si="16"/>
        <v/>
      </c>
      <c r="P280" s="104" t="str">
        <f t="shared" si="17"/>
        <v/>
      </c>
      <c r="Q280" s="104" t="str">
        <f>IFERROR(INDEX($M$3:M$350, $P280, COLUMNS($Q$3:Q627)),"")</f>
        <v/>
      </c>
      <c r="R280" s="104"/>
      <c r="V280">
        <v>278</v>
      </c>
      <c r="W280" t="str">
        <f t="shared" si="18"/>
        <v/>
      </c>
      <c r="X280" t="str">
        <f t="shared" si="19"/>
        <v/>
      </c>
      <c r="Y280" s="108" t="str">
        <f>IFERROR(INDEX($T$3:U$352, $X280, COLUMNS($Y$3:Y280)), "")</f>
        <v/>
      </c>
      <c r="Z280" s="108" t="str">
        <f>IFERROR(INDEX($T$3:V$352, $X280, COLUMNS($Y$3:Z280)), "")</f>
        <v/>
      </c>
    </row>
    <row r="281" spans="11:26" x14ac:dyDescent="0.25">
      <c r="K281" s="104"/>
      <c r="L281" s="104"/>
      <c r="M281" s="104"/>
      <c r="N281" s="104">
        <v>279</v>
      </c>
      <c r="O281" s="104" t="str">
        <f t="shared" si="16"/>
        <v/>
      </c>
      <c r="P281" s="104" t="str">
        <f t="shared" si="17"/>
        <v/>
      </c>
      <c r="Q281" s="104" t="str">
        <f>IFERROR(INDEX($M$3:M$350, $P281, COLUMNS($Q$3:Q628)),"")</f>
        <v/>
      </c>
      <c r="R281" s="104"/>
      <c r="V281">
        <v>279</v>
      </c>
      <c r="W281" t="str">
        <f t="shared" si="18"/>
        <v/>
      </c>
      <c r="X281" t="str">
        <f t="shared" si="19"/>
        <v/>
      </c>
      <c r="Y281" s="108" t="str">
        <f>IFERROR(INDEX($T$3:U$352, $X281, COLUMNS($Y$3:Y281)), "")</f>
        <v/>
      </c>
      <c r="Z281" s="108" t="str">
        <f>IFERROR(INDEX($T$3:V$352, $X281, COLUMNS($Y$3:Z281)), "")</f>
        <v/>
      </c>
    </row>
    <row r="282" spans="11:26" x14ac:dyDescent="0.25">
      <c r="K282" s="104"/>
      <c r="L282" s="104"/>
      <c r="M282" s="104"/>
      <c r="N282" s="104">
        <v>280</v>
      </c>
      <c r="O282" s="104" t="str">
        <f t="shared" si="16"/>
        <v/>
      </c>
      <c r="P282" s="104" t="str">
        <f t="shared" si="17"/>
        <v/>
      </c>
      <c r="Q282" s="104" t="str">
        <f>IFERROR(INDEX($M$3:M$350, $P282, COLUMNS($Q$3:Q629)),"")</f>
        <v/>
      </c>
      <c r="R282" s="104"/>
      <c r="V282">
        <v>280</v>
      </c>
      <c r="W282" t="str">
        <f t="shared" si="18"/>
        <v/>
      </c>
      <c r="X282" t="str">
        <f t="shared" si="19"/>
        <v/>
      </c>
      <c r="Y282" s="108" t="str">
        <f>IFERROR(INDEX($T$3:U$352, $X282, COLUMNS($Y$3:Y282)), "")</f>
        <v/>
      </c>
      <c r="Z282" s="108" t="str">
        <f>IFERROR(INDEX($T$3:V$352, $X282, COLUMNS($Y$3:Z282)), "")</f>
        <v/>
      </c>
    </row>
    <row r="283" spans="11:26" x14ac:dyDescent="0.25">
      <c r="K283" s="104"/>
      <c r="L283" s="104"/>
      <c r="M283" s="104"/>
      <c r="N283" s="104">
        <v>281</v>
      </c>
      <c r="O283" s="104" t="str">
        <f t="shared" si="16"/>
        <v/>
      </c>
      <c r="P283" s="104" t="str">
        <f t="shared" si="17"/>
        <v/>
      </c>
      <c r="Q283" s="104" t="str">
        <f>IFERROR(INDEX($M$3:M$350, $P283, COLUMNS($Q$3:Q630)),"")</f>
        <v/>
      </c>
      <c r="R283" s="104"/>
      <c r="V283">
        <v>281</v>
      </c>
      <c r="W283" t="str">
        <f t="shared" si="18"/>
        <v/>
      </c>
      <c r="X283" t="str">
        <f t="shared" si="19"/>
        <v/>
      </c>
      <c r="Y283" s="108" t="str">
        <f>IFERROR(INDEX($T$3:U$352, $X283, COLUMNS($Y$3:Y283)), "")</f>
        <v/>
      </c>
      <c r="Z283" s="108" t="str">
        <f>IFERROR(INDEX($T$3:V$352, $X283, COLUMNS($Y$3:Z283)), "")</f>
        <v/>
      </c>
    </row>
    <row r="284" spans="11:26" x14ac:dyDescent="0.25">
      <c r="K284" s="104"/>
      <c r="L284" s="104"/>
      <c r="M284" s="104"/>
      <c r="N284" s="104">
        <v>282</v>
      </c>
      <c r="O284" s="104" t="str">
        <f t="shared" si="16"/>
        <v/>
      </c>
      <c r="P284" s="104" t="str">
        <f t="shared" si="17"/>
        <v/>
      </c>
      <c r="Q284" s="104" t="str">
        <f>IFERROR(INDEX($M$3:M$350, $P284, COLUMNS($Q$3:Q631)),"")</f>
        <v/>
      </c>
      <c r="R284" s="104"/>
      <c r="V284">
        <v>282</v>
      </c>
      <c r="W284" t="str">
        <f t="shared" si="18"/>
        <v/>
      </c>
      <c r="X284" t="str">
        <f t="shared" si="19"/>
        <v/>
      </c>
      <c r="Y284" s="108" t="str">
        <f>IFERROR(INDEX($T$3:U$352, $X284, COLUMNS($Y$3:Y284)), "")</f>
        <v/>
      </c>
      <c r="Z284" s="108" t="str">
        <f>IFERROR(INDEX($T$3:V$352, $X284, COLUMNS($Y$3:Z284)), "")</f>
        <v/>
      </c>
    </row>
    <row r="285" spans="11:26" x14ac:dyDescent="0.25">
      <c r="K285" s="104"/>
      <c r="L285" s="104"/>
      <c r="M285" s="104"/>
      <c r="N285" s="104">
        <v>283</v>
      </c>
      <c r="O285" s="104" t="str">
        <f t="shared" si="16"/>
        <v/>
      </c>
      <c r="P285" s="104" t="str">
        <f t="shared" si="17"/>
        <v/>
      </c>
      <c r="Q285" s="104" t="str">
        <f>IFERROR(INDEX($M$3:M$350, $P285, COLUMNS($Q$3:Q632)),"")</f>
        <v/>
      </c>
      <c r="R285" s="104"/>
      <c r="V285">
        <v>283</v>
      </c>
      <c r="W285" t="str">
        <f t="shared" si="18"/>
        <v/>
      </c>
      <c r="X285" t="str">
        <f t="shared" si="19"/>
        <v/>
      </c>
      <c r="Y285" s="108" t="str">
        <f>IFERROR(INDEX($T$3:U$352, $X285, COLUMNS($Y$3:Y285)), "")</f>
        <v/>
      </c>
      <c r="Z285" s="108" t="str">
        <f>IFERROR(INDEX($T$3:V$352, $X285, COLUMNS($Y$3:Z285)), "")</f>
        <v/>
      </c>
    </row>
    <row r="286" spans="11:26" x14ac:dyDescent="0.25">
      <c r="K286" s="104"/>
      <c r="L286" s="104"/>
      <c r="M286" s="104"/>
      <c r="N286" s="104">
        <v>284</v>
      </c>
      <c r="O286" s="104" t="str">
        <f t="shared" si="16"/>
        <v/>
      </c>
      <c r="P286" s="104" t="str">
        <f t="shared" si="17"/>
        <v/>
      </c>
      <c r="Q286" s="104" t="str">
        <f>IFERROR(INDEX($M$3:M$350, $P286, COLUMNS($Q$3:Q633)),"")</f>
        <v/>
      </c>
      <c r="R286" s="104"/>
      <c r="V286">
        <v>284</v>
      </c>
      <c r="W286" t="str">
        <f t="shared" si="18"/>
        <v/>
      </c>
      <c r="X286" t="str">
        <f t="shared" si="19"/>
        <v/>
      </c>
      <c r="Y286" s="108" t="str">
        <f>IFERROR(INDEX($T$3:U$352, $X286, COLUMNS($Y$3:Y286)), "")</f>
        <v/>
      </c>
      <c r="Z286" s="108" t="str">
        <f>IFERROR(INDEX($T$3:V$352, $X286, COLUMNS($Y$3:Z286)), "")</f>
        <v/>
      </c>
    </row>
    <row r="287" spans="11:26" x14ac:dyDescent="0.25">
      <c r="K287" s="104"/>
      <c r="L287" s="104"/>
      <c r="M287" s="104"/>
      <c r="N287" s="104">
        <v>285</v>
      </c>
      <c r="O287" s="104" t="str">
        <f t="shared" si="16"/>
        <v/>
      </c>
      <c r="P287" s="104" t="str">
        <f t="shared" si="17"/>
        <v/>
      </c>
      <c r="Q287" s="104" t="str">
        <f>IFERROR(INDEX($M$3:M$350, $P287, COLUMNS($Q$3:Q634)),"")</f>
        <v/>
      </c>
      <c r="R287" s="104"/>
      <c r="V287">
        <v>285</v>
      </c>
      <c r="W287" t="str">
        <f t="shared" si="18"/>
        <v/>
      </c>
      <c r="X287" t="str">
        <f t="shared" si="19"/>
        <v/>
      </c>
      <c r="Y287" s="108" t="str">
        <f>IFERROR(INDEX($T$3:U$352, $X287, COLUMNS($Y$3:Y287)), "")</f>
        <v/>
      </c>
      <c r="Z287" s="108" t="str">
        <f>IFERROR(INDEX($T$3:V$352, $X287, COLUMNS($Y$3:Z287)), "")</f>
        <v/>
      </c>
    </row>
    <row r="288" spans="11:26" x14ac:dyDescent="0.25">
      <c r="K288" s="104"/>
      <c r="L288" s="104"/>
      <c r="M288" s="104"/>
      <c r="N288" s="104">
        <v>286</v>
      </c>
      <c r="O288" s="104" t="str">
        <f t="shared" si="16"/>
        <v/>
      </c>
      <c r="P288" s="104" t="str">
        <f t="shared" si="17"/>
        <v/>
      </c>
      <c r="Q288" s="104" t="str">
        <f>IFERROR(INDEX($M$3:M$350, $P288, COLUMNS($Q$3:Q635)),"")</f>
        <v/>
      </c>
      <c r="R288" s="104"/>
      <c r="V288">
        <v>286</v>
      </c>
      <c r="W288" t="str">
        <f t="shared" si="18"/>
        <v/>
      </c>
      <c r="X288" t="str">
        <f t="shared" si="19"/>
        <v/>
      </c>
      <c r="Y288" s="108" t="str">
        <f>IFERROR(INDEX($T$3:U$352, $X288, COLUMNS($Y$3:Y288)), "")</f>
        <v/>
      </c>
      <c r="Z288" s="108" t="str">
        <f>IFERROR(INDEX($T$3:V$352, $X288, COLUMNS($Y$3:Z288)), "")</f>
        <v/>
      </c>
    </row>
    <row r="289" spans="11:26" x14ac:dyDescent="0.25">
      <c r="K289" s="104"/>
      <c r="L289" s="104"/>
      <c r="M289" s="104"/>
      <c r="N289" s="104">
        <v>287</v>
      </c>
      <c r="O289" s="104" t="str">
        <f t="shared" si="16"/>
        <v/>
      </c>
      <c r="P289" s="104" t="str">
        <f t="shared" si="17"/>
        <v/>
      </c>
      <c r="Q289" s="104" t="str">
        <f>IFERROR(INDEX($M$3:M$350, $P289, COLUMNS($Q$3:Q636)),"")</f>
        <v/>
      </c>
      <c r="R289" s="104"/>
      <c r="V289">
        <v>287</v>
      </c>
      <c r="W289" t="str">
        <f t="shared" si="18"/>
        <v/>
      </c>
      <c r="X289" t="str">
        <f t="shared" si="19"/>
        <v/>
      </c>
      <c r="Y289" s="108" t="str">
        <f>IFERROR(INDEX($T$3:U$352, $X289, COLUMNS($Y$3:Y289)), "")</f>
        <v/>
      </c>
      <c r="Z289" s="108" t="str">
        <f>IFERROR(INDEX($T$3:V$352, $X289, COLUMNS($Y$3:Z289)), "")</f>
        <v/>
      </c>
    </row>
    <row r="290" spans="11:26" x14ac:dyDescent="0.25">
      <c r="K290" s="104"/>
      <c r="L290" s="104"/>
      <c r="M290" s="104"/>
      <c r="N290" s="104">
        <v>288</v>
      </c>
      <c r="O290" s="104" t="str">
        <f t="shared" si="16"/>
        <v/>
      </c>
      <c r="P290" s="104" t="str">
        <f t="shared" si="17"/>
        <v/>
      </c>
      <c r="Q290" s="104" t="str">
        <f>IFERROR(INDEX($M$3:M$350, $P290, COLUMNS($Q$3:Q637)),"")</f>
        <v/>
      </c>
      <c r="R290" s="104"/>
      <c r="V290">
        <v>288</v>
      </c>
      <c r="W290" t="str">
        <f t="shared" si="18"/>
        <v/>
      </c>
      <c r="X290" t="str">
        <f t="shared" si="19"/>
        <v/>
      </c>
      <c r="Y290" s="108" t="str">
        <f>IFERROR(INDEX($T$3:U$352, $X290, COLUMNS($Y$3:Y290)), "")</f>
        <v/>
      </c>
      <c r="Z290" s="108" t="str">
        <f>IFERROR(INDEX($T$3:V$352, $X290, COLUMNS($Y$3:Z290)), "")</f>
        <v/>
      </c>
    </row>
    <row r="291" spans="11:26" x14ac:dyDescent="0.25">
      <c r="K291" s="104"/>
      <c r="L291" s="104"/>
      <c r="M291" s="104"/>
      <c r="N291" s="104">
        <v>289</v>
      </c>
      <c r="O291" s="104" t="str">
        <f t="shared" si="16"/>
        <v/>
      </c>
      <c r="P291" s="104" t="str">
        <f t="shared" si="17"/>
        <v/>
      </c>
      <c r="Q291" s="104" t="str">
        <f>IFERROR(INDEX($M$3:M$350, $P291, COLUMNS($Q$3:Q638)),"")</f>
        <v/>
      </c>
      <c r="R291" s="104"/>
      <c r="V291">
        <v>289</v>
      </c>
      <c r="W291" t="str">
        <f t="shared" si="18"/>
        <v/>
      </c>
      <c r="X291" t="str">
        <f t="shared" si="19"/>
        <v/>
      </c>
      <c r="Y291" s="108" t="str">
        <f>IFERROR(INDEX($T$3:U$352, $X291, COLUMNS($Y$3:Y291)), "")</f>
        <v/>
      </c>
      <c r="Z291" s="108" t="str">
        <f>IFERROR(INDEX($T$3:V$352, $X291, COLUMNS($Y$3:Z291)), "")</f>
        <v/>
      </c>
    </row>
    <row r="292" spans="11:26" x14ac:dyDescent="0.25">
      <c r="K292" s="104"/>
      <c r="L292" s="104"/>
      <c r="M292" s="104"/>
      <c r="N292" s="104">
        <v>290</v>
      </c>
      <c r="O292" s="104" t="str">
        <f t="shared" si="16"/>
        <v/>
      </c>
      <c r="P292" s="104" t="str">
        <f t="shared" si="17"/>
        <v/>
      </c>
      <c r="Q292" s="104" t="str">
        <f>IFERROR(INDEX($M$3:M$350, $P292, COLUMNS($Q$3:Q639)),"")</f>
        <v/>
      </c>
      <c r="R292" s="104"/>
      <c r="V292">
        <v>290</v>
      </c>
      <c r="W292" t="str">
        <f t="shared" si="18"/>
        <v/>
      </c>
      <c r="X292" t="str">
        <f t="shared" si="19"/>
        <v/>
      </c>
      <c r="Y292" s="108" t="str">
        <f>IFERROR(INDEX($T$3:U$352, $X292, COLUMNS($Y$3:Y292)), "")</f>
        <v/>
      </c>
      <c r="Z292" s="108" t="str">
        <f>IFERROR(INDEX($T$3:V$352, $X292, COLUMNS($Y$3:Z292)), "")</f>
        <v/>
      </c>
    </row>
    <row r="293" spans="11:26" x14ac:dyDescent="0.25">
      <c r="K293" s="104"/>
      <c r="L293" s="104"/>
      <c r="M293" s="104"/>
      <c r="N293" s="104">
        <v>291</v>
      </c>
      <c r="O293" s="104" t="str">
        <f t="shared" si="16"/>
        <v/>
      </c>
      <c r="P293" s="104" t="str">
        <f t="shared" si="17"/>
        <v/>
      </c>
      <c r="Q293" s="104" t="str">
        <f>IFERROR(INDEX($M$3:M$350, $P293, COLUMNS($Q$3:Q640)),"")</f>
        <v/>
      </c>
      <c r="R293" s="104"/>
      <c r="V293">
        <v>291</v>
      </c>
      <c r="W293" t="str">
        <f t="shared" si="18"/>
        <v/>
      </c>
      <c r="X293" t="str">
        <f t="shared" si="19"/>
        <v/>
      </c>
      <c r="Y293" s="108" t="str">
        <f>IFERROR(INDEX($T$3:U$352, $X293, COLUMNS($Y$3:Y293)), "")</f>
        <v/>
      </c>
      <c r="Z293" s="108" t="str">
        <f>IFERROR(INDEX($T$3:V$352, $X293, COLUMNS($Y$3:Z293)), "")</f>
        <v/>
      </c>
    </row>
    <row r="294" spans="11:26" x14ac:dyDescent="0.25">
      <c r="K294" s="104"/>
      <c r="L294" s="104"/>
      <c r="M294" s="104"/>
      <c r="N294" s="104">
        <v>292</v>
      </c>
      <c r="O294" s="104" t="str">
        <f t="shared" si="16"/>
        <v/>
      </c>
      <c r="P294" s="104" t="str">
        <f t="shared" si="17"/>
        <v/>
      </c>
      <c r="Q294" s="104" t="str">
        <f>IFERROR(INDEX($M$3:M$350, $P294, COLUMNS($Q$3:Q641)),"")</f>
        <v/>
      </c>
      <c r="R294" s="104"/>
      <c r="V294">
        <v>292</v>
      </c>
      <c r="W294" t="str">
        <f t="shared" si="18"/>
        <v/>
      </c>
      <c r="X294" t="str">
        <f t="shared" si="19"/>
        <v/>
      </c>
      <c r="Y294" s="108" t="str">
        <f>IFERROR(INDEX($T$3:U$352, $X294, COLUMNS($Y$3:Y294)), "")</f>
        <v/>
      </c>
      <c r="Z294" s="108" t="str">
        <f>IFERROR(INDEX($T$3:V$352, $X294, COLUMNS($Y$3:Z294)), "")</f>
        <v/>
      </c>
    </row>
    <row r="295" spans="11:26" x14ac:dyDescent="0.25">
      <c r="K295" s="104"/>
      <c r="L295" s="104"/>
      <c r="M295" s="104"/>
      <c r="N295" s="104">
        <v>293</v>
      </c>
      <c r="O295" s="104" t="str">
        <f t="shared" si="16"/>
        <v/>
      </c>
      <c r="P295" s="104" t="str">
        <f t="shared" si="17"/>
        <v/>
      </c>
      <c r="Q295" s="104" t="str">
        <f>IFERROR(INDEX($M$3:M$350, $P295, COLUMNS($Q$3:Q642)),"")</f>
        <v/>
      </c>
      <c r="R295" s="104"/>
      <c r="V295">
        <v>293</v>
      </c>
      <c r="W295" t="str">
        <f t="shared" si="18"/>
        <v/>
      </c>
      <c r="X295" t="str">
        <f t="shared" si="19"/>
        <v/>
      </c>
      <c r="Y295" s="108" t="str">
        <f>IFERROR(INDEX($T$3:U$352, $X295, COLUMNS($Y$3:Y295)), "")</f>
        <v/>
      </c>
      <c r="Z295" s="108" t="str">
        <f>IFERROR(INDEX($T$3:V$352, $X295, COLUMNS($Y$3:Z295)), "")</f>
        <v/>
      </c>
    </row>
    <row r="296" spans="11:26" x14ac:dyDescent="0.25">
      <c r="K296" s="104"/>
      <c r="L296" s="104"/>
      <c r="M296" s="104"/>
      <c r="N296" s="104">
        <v>294</v>
      </c>
      <c r="O296" s="104" t="str">
        <f t="shared" si="16"/>
        <v/>
      </c>
      <c r="P296" s="104" t="str">
        <f t="shared" si="17"/>
        <v/>
      </c>
      <c r="Q296" s="104" t="str">
        <f>IFERROR(INDEX($M$3:M$350, $P296, COLUMNS($Q$3:Q643)),"")</f>
        <v/>
      </c>
      <c r="R296" s="104"/>
      <c r="V296">
        <v>294</v>
      </c>
      <c r="W296" t="str">
        <f t="shared" si="18"/>
        <v/>
      </c>
      <c r="X296" t="str">
        <f t="shared" si="19"/>
        <v/>
      </c>
      <c r="Y296" s="108" t="str">
        <f>IFERROR(INDEX($T$3:U$352, $X296, COLUMNS($Y$3:Y296)), "")</f>
        <v/>
      </c>
      <c r="Z296" s="108" t="str">
        <f>IFERROR(INDEX($T$3:V$352, $X296, COLUMNS($Y$3:Z296)), "")</f>
        <v/>
      </c>
    </row>
    <row r="297" spans="11:26" x14ac:dyDescent="0.25">
      <c r="K297" s="104"/>
      <c r="L297" s="104"/>
      <c r="M297" s="104"/>
      <c r="N297" s="104">
        <v>295</v>
      </c>
      <c r="O297" s="104" t="str">
        <f t="shared" si="16"/>
        <v/>
      </c>
      <c r="P297" s="104" t="str">
        <f t="shared" si="17"/>
        <v/>
      </c>
      <c r="Q297" s="104" t="str">
        <f>IFERROR(INDEX($M$3:M$350, $P297, COLUMNS($Q$3:Q644)),"")</f>
        <v/>
      </c>
      <c r="R297" s="104"/>
      <c r="V297">
        <v>295</v>
      </c>
      <c r="W297" t="str">
        <f t="shared" si="18"/>
        <v/>
      </c>
      <c r="X297" t="str">
        <f t="shared" si="19"/>
        <v/>
      </c>
      <c r="Y297" s="108" t="str">
        <f>IFERROR(INDEX($T$3:U$352, $X297, COLUMNS($Y$3:Y297)), "")</f>
        <v/>
      </c>
      <c r="Z297" s="108" t="str">
        <f>IFERROR(INDEX($T$3:V$352, $X297, COLUMNS($Y$3:Z297)), "")</f>
        <v/>
      </c>
    </row>
    <row r="298" spans="11:26" x14ac:dyDescent="0.25">
      <c r="K298" s="104"/>
      <c r="L298" s="104"/>
      <c r="M298" s="104"/>
      <c r="N298" s="104">
        <v>296</v>
      </c>
      <c r="O298" s="104" t="str">
        <f t="shared" si="16"/>
        <v/>
      </c>
      <c r="P298" s="104" t="str">
        <f t="shared" si="17"/>
        <v/>
      </c>
      <c r="Q298" s="104" t="str">
        <f>IFERROR(INDEX($M$3:M$350, $P298, COLUMNS($Q$3:Q645)),"")</f>
        <v/>
      </c>
      <c r="R298" s="104"/>
      <c r="V298">
        <v>296</v>
      </c>
      <c r="W298" t="str">
        <f t="shared" si="18"/>
        <v/>
      </c>
      <c r="X298" t="str">
        <f t="shared" si="19"/>
        <v/>
      </c>
      <c r="Y298" s="108" t="str">
        <f>IFERROR(INDEX($T$3:U$352, $X298, COLUMNS($Y$3:Y298)), "")</f>
        <v/>
      </c>
      <c r="Z298" s="108" t="str">
        <f>IFERROR(INDEX($T$3:V$352, $X298, COLUMNS($Y$3:Z298)), "")</f>
        <v/>
      </c>
    </row>
    <row r="299" spans="11:26" x14ac:dyDescent="0.25">
      <c r="K299" s="104"/>
      <c r="L299" s="104"/>
      <c r="M299" s="104"/>
      <c r="N299" s="104">
        <v>297</v>
      </c>
      <c r="O299" s="104" t="str">
        <f t="shared" si="16"/>
        <v/>
      </c>
      <c r="P299" s="104" t="str">
        <f t="shared" si="17"/>
        <v/>
      </c>
      <c r="Q299" s="104" t="str">
        <f>IFERROR(INDEX($M$3:M$350, $P299, COLUMNS($Q$3:Q646)),"")</f>
        <v/>
      </c>
      <c r="R299" s="104"/>
      <c r="V299">
        <v>297</v>
      </c>
      <c r="W299" t="str">
        <f t="shared" si="18"/>
        <v/>
      </c>
      <c r="X299" t="str">
        <f t="shared" si="19"/>
        <v/>
      </c>
      <c r="Y299" s="108" t="str">
        <f>IFERROR(INDEX($T$3:U$352, $X299, COLUMNS($Y$3:Y299)), "")</f>
        <v/>
      </c>
      <c r="Z299" s="108" t="str">
        <f>IFERROR(INDEX($T$3:V$352, $X299, COLUMNS($Y$3:Z299)), "")</f>
        <v/>
      </c>
    </row>
    <row r="300" spans="11:26" x14ac:dyDescent="0.25">
      <c r="K300" s="104"/>
      <c r="L300" s="104"/>
      <c r="M300" s="104"/>
      <c r="N300" s="104">
        <v>298</v>
      </c>
      <c r="O300" s="104" t="str">
        <f t="shared" si="16"/>
        <v/>
      </c>
      <c r="P300" s="104" t="str">
        <f t="shared" si="17"/>
        <v/>
      </c>
      <c r="Q300" s="104" t="str">
        <f>IFERROR(INDEX($M$3:M$350, $P300, COLUMNS($Q$3:Q647)),"")</f>
        <v/>
      </c>
      <c r="R300" s="104"/>
      <c r="V300">
        <v>298</v>
      </c>
      <c r="W300" t="str">
        <f t="shared" si="18"/>
        <v/>
      </c>
      <c r="X300" t="str">
        <f t="shared" si="19"/>
        <v/>
      </c>
      <c r="Y300" s="108" t="str">
        <f>IFERROR(INDEX($T$3:U$352, $X300, COLUMNS($Y$3:Y300)), "")</f>
        <v/>
      </c>
      <c r="Z300" s="108" t="str">
        <f>IFERROR(INDEX($T$3:V$352, $X300, COLUMNS($Y$3:Z300)), "")</f>
        <v/>
      </c>
    </row>
    <row r="301" spans="11:26" x14ac:dyDescent="0.25">
      <c r="K301" s="104"/>
      <c r="L301" s="104"/>
      <c r="M301" s="104"/>
      <c r="N301" s="104">
        <v>299</v>
      </c>
      <c r="O301" s="104" t="str">
        <f t="shared" si="16"/>
        <v/>
      </c>
      <c r="P301" s="104" t="str">
        <f t="shared" si="17"/>
        <v/>
      </c>
      <c r="Q301" s="104" t="str">
        <f>IFERROR(INDEX($M$3:M$350, $P301, COLUMNS($Q$3:Q648)),"")</f>
        <v/>
      </c>
      <c r="R301" s="104"/>
      <c r="V301">
        <v>299</v>
      </c>
      <c r="W301" t="str">
        <f t="shared" si="18"/>
        <v/>
      </c>
      <c r="X301" t="str">
        <f t="shared" si="19"/>
        <v/>
      </c>
      <c r="Y301" s="108" t="str">
        <f>IFERROR(INDEX($T$3:U$352, $X301, COLUMNS($Y$3:Y301)), "")</f>
        <v/>
      </c>
      <c r="Z301" s="108" t="str">
        <f>IFERROR(INDEX($T$3:V$352, $X301, COLUMNS($Y$3:Z301)), "")</f>
        <v/>
      </c>
    </row>
    <row r="302" spans="11:26" x14ac:dyDescent="0.25">
      <c r="K302" s="104"/>
      <c r="L302" s="104"/>
      <c r="M302" s="104"/>
      <c r="N302" s="104">
        <v>300</v>
      </c>
      <c r="O302" s="104" t="str">
        <f t="shared" si="16"/>
        <v/>
      </c>
      <c r="P302" s="104" t="str">
        <f t="shared" si="17"/>
        <v/>
      </c>
      <c r="Q302" s="104" t="str">
        <f>IFERROR(INDEX($M$3:M$350, $P302, COLUMNS($Q$3:Q649)),"")</f>
        <v/>
      </c>
      <c r="R302" s="104"/>
      <c r="V302">
        <v>300</v>
      </c>
      <c r="W302" t="str">
        <f t="shared" si="18"/>
        <v/>
      </c>
      <c r="X302" t="str">
        <f t="shared" si="19"/>
        <v/>
      </c>
      <c r="Y302" s="108" t="str">
        <f>IFERROR(INDEX($T$3:U$352, $X302, COLUMNS($Y$3:Y302)), "")</f>
        <v/>
      </c>
      <c r="Z302" s="108" t="str">
        <f>IFERROR(INDEX($T$3:V$352, $X302, COLUMNS($Y$3:Z302)), "")</f>
        <v/>
      </c>
    </row>
    <row r="303" spans="11:26" x14ac:dyDescent="0.25">
      <c r="K303" s="104"/>
      <c r="L303" s="104"/>
      <c r="M303" s="104"/>
      <c r="N303" s="104">
        <v>301</v>
      </c>
      <c r="O303" s="104" t="str">
        <f t="shared" si="16"/>
        <v/>
      </c>
      <c r="P303" s="104" t="str">
        <f t="shared" si="17"/>
        <v/>
      </c>
      <c r="Q303" s="104" t="str">
        <f>IFERROR(INDEX($M$3:M$350, $P303, COLUMNS($Q$3:Q650)),"")</f>
        <v/>
      </c>
      <c r="R303" s="104"/>
      <c r="V303">
        <v>301</v>
      </c>
      <c r="W303" t="str">
        <f t="shared" si="18"/>
        <v/>
      </c>
      <c r="X303" t="str">
        <f t="shared" si="19"/>
        <v/>
      </c>
      <c r="Y303" s="108" t="str">
        <f>IFERROR(INDEX($T$3:U$352, $X303, COLUMNS($Y$3:Y303)), "")</f>
        <v/>
      </c>
      <c r="Z303" s="108" t="str">
        <f>IFERROR(INDEX($T$3:V$352, $X303, COLUMNS($Y$3:Z303)), "")</f>
        <v/>
      </c>
    </row>
    <row r="304" spans="11:26" x14ac:dyDescent="0.25">
      <c r="K304" s="104"/>
      <c r="L304" s="104"/>
      <c r="M304" s="104"/>
      <c r="N304" s="104">
        <v>302</v>
      </c>
      <c r="O304" s="104" t="str">
        <f t="shared" si="16"/>
        <v/>
      </c>
      <c r="P304" s="104" t="str">
        <f t="shared" si="17"/>
        <v/>
      </c>
      <c r="Q304" s="104" t="str">
        <f>IFERROR(INDEX($M$3:M$350, $P304, COLUMNS($Q$3:Q651)),"")</f>
        <v/>
      </c>
      <c r="R304" s="104"/>
      <c r="V304">
        <v>302</v>
      </c>
      <c r="W304" t="str">
        <f t="shared" si="18"/>
        <v/>
      </c>
      <c r="X304" t="str">
        <f t="shared" si="19"/>
        <v/>
      </c>
      <c r="Y304" s="108" t="str">
        <f>IFERROR(INDEX($T$3:U$352, $X304, COLUMNS($Y$3:Y304)), "")</f>
        <v/>
      </c>
      <c r="Z304" s="108" t="str">
        <f>IFERROR(INDEX($T$3:V$352, $X304, COLUMNS($Y$3:Z304)), "")</f>
        <v/>
      </c>
    </row>
    <row r="305" spans="11:26" x14ac:dyDescent="0.25">
      <c r="K305" s="104"/>
      <c r="L305" s="104"/>
      <c r="M305" s="104"/>
      <c r="N305" s="104">
        <v>303</v>
      </c>
      <c r="O305" s="104" t="str">
        <f t="shared" si="16"/>
        <v/>
      </c>
      <c r="P305" s="104" t="str">
        <f t="shared" si="17"/>
        <v/>
      </c>
      <c r="Q305" s="104" t="str">
        <f>IFERROR(INDEX($M$3:M$350, $P305, COLUMNS($Q$3:Q652)),"")</f>
        <v/>
      </c>
      <c r="R305" s="104"/>
      <c r="V305">
        <v>303</v>
      </c>
      <c r="W305" t="str">
        <f t="shared" si="18"/>
        <v/>
      </c>
      <c r="X305" t="str">
        <f t="shared" si="19"/>
        <v/>
      </c>
      <c r="Y305" s="108" t="str">
        <f>IFERROR(INDEX($T$3:U$352, $X305, COLUMNS($Y$3:Y305)), "")</f>
        <v/>
      </c>
      <c r="Z305" s="108" t="str">
        <f>IFERROR(INDEX($T$3:V$352, $X305, COLUMNS($Y$3:Z305)), "")</f>
        <v/>
      </c>
    </row>
    <row r="306" spans="11:26" x14ac:dyDescent="0.25">
      <c r="K306" s="104"/>
      <c r="L306" s="104"/>
      <c r="M306" s="104"/>
      <c r="N306" s="104">
        <v>304</v>
      </c>
      <c r="O306" s="104" t="str">
        <f t="shared" si="16"/>
        <v/>
      </c>
      <c r="P306" s="104" t="str">
        <f t="shared" si="17"/>
        <v/>
      </c>
      <c r="Q306" s="104" t="str">
        <f>IFERROR(INDEX($M$3:M$350, $P306, COLUMNS($Q$3:Q653)),"")</f>
        <v/>
      </c>
      <c r="R306" s="104"/>
      <c r="V306">
        <v>304</v>
      </c>
      <c r="W306" t="str">
        <f t="shared" si="18"/>
        <v/>
      </c>
      <c r="X306" t="str">
        <f t="shared" si="19"/>
        <v/>
      </c>
      <c r="Y306" s="108" t="str">
        <f>IFERROR(INDEX($T$3:U$352, $X306, COLUMNS($Y$3:Y306)), "")</f>
        <v/>
      </c>
      <c r="Z306" s="108" t="str">
        <f>IFERROR(INDEX($T$3:V$352, $X306, COLUMNS($Y$3:Z306)), "")</f>
        <v/>
      </c>
    </row>
    <row r="307" spans="11:26" x14ac:dyDescent="0.25">
      <c r="K307" s="104"/>
      <c r="L307" s="104"/>
      <c r="M307" s="104"/>
      <c r="N307" s="104">
        <v>305</v>
      </c>
      <c r="O307" s="104" t="str">
        <f t="shared" si="16"/>
        <v/>
      </c>
      <c r="P307" s="104" t="str">
        <f t="shared" si="17"/>
        <v/>
      </c>
      <c r="Q307" s="104" t="str">
        <f>IFERROR(INDEX($M$3:M$350, $P307, COLUMNS($Q$3:Q654)),"")</f>
        <v/>
      </c>
      <c r="R307" s="104"/>
      <c r="V307">
        <v>305</v>
      </c>
      <c r="W307" t="str">
        <f t="shared" si="18"/>
        <v/>
      </c>
      <c r="X307" t="str">
        <f t="shared" si="19"/>
        <v/>
      </c>
      <c r="Y307" s="108" t="str">
        <f>IFERROR(INDEX($T$3:U$352, $X307, COLUMNS($Y$3:Y307)), "")</f>
        <v/>
      </c>
      <c r="Z307" s="108" t="str">
        <f>IFERROR(INDEX($T$3:V$352, $X307, COLUMNS($Y$3:Z307)), "")</f>
        <v/>
      </c>
    </row>
    <row r="308" spans="11:26" x14ac:dyDescent="0.25">
      <c r="K308" s="104"/>
      <c r="L308" s="104"/>
      <c r="M308" s="104"/>
      <c r="N308" s="104">
        <v>306</v>
      </c>
      <c r="O308" s="104" t="str">
        <f t="shared" si="16"/>
        <v/>
      </c>
      <c r="P308" s="104" t="str">
        <f t="shared" si="17"/>
        <v/>
      </c>
      <c r="Q308" s="104" t="str">
        <f>IFERROR(INDEX($M$3:M$350, $P308, COLUMNS($Q$3:Q655)),"")</f>
        <v/>
      </c>
      <c r="R308" s="104"/>
      <c r="V308">
        <v>306</v>
      </c>
      <c r="W308" t="str">
        <f t="shared" si="18"/>
        <v/>
      </c>
      <c r="X308" t="str">
        <f t="shared" si="19"/>
        <v/>
      </c>
      <c r="Y308" s="108" t="str">
        <f>IFERROR(INDEX($T$3:U$352, $X308, COLUMNS($Y$3:Y308)), "")</f>
        <v/>
      </c>
      <c r="Z308" s="108" t="str">
        <f>IFERROR(INDEX($T$3:V$352, $X308, COLUMNS($Y$3:Z308)), "")</f>
        <v/>
      </c>
    </row>
    <row r="309" spans="11:26" x14ac:dyDescent="0.25">
      <c r="K309" s="104"/>
      <c r="L309" s="104"/>
      <c r="M309" s="104"/>
      <c r="N309" s="104">
        <v>307</v>
      </c>
      <c r="O309" s="104" t="str">
        <f t="shared" si="16"/>
        <v/>
      </c>
      <c r="P309" s="104" t="str">
        <f t="shared" si="17"/>
        <v/>
      </c>
      <c r="Q309" s="104" t="str">
        <f>IFERROR(INDEX($M$3:M$350, $P309, COLUMNS($Q$3:Q656)),"")</f>
        <v/>
      </c>
      <c r="R309" s="104"/>
      <c r="V309">
        <v>307</v>
      </c>
      <c r="W309" t="str">
        <f t="shared" si="18"/>
        <v/>
      </c>
      <c r="X309" t="str">
        <f t="shared" si="19"/>
        <v/>
      </c>
      <c r="Y309" s="108" t="str">
        <f>IFERROR(INDEX($T$3:U$352, $X309, COLUMNS($Y$3:Y309)), "")</f>
        <v/>
      </c>
      <c r="Z309" s="108" t="str">
        <f>IFERROR(INDEX($T$3:V$352, $X309, COLUMNS($Y$3:Z309)), "")</f>
        <v/>
      </c>
    </row>
    <row r="310" spans="11:26" x14ac:dyDescent="0.25">
      <c r="K310" s="104"/>
      <c r="L310" s="104"/>
      <c r="M310" s="104"/>
      <c r="N310" s="104">
        <v>308</v>
      </c>
      <c r="O310" s="104" t="str">
        <f t="shared" si="16"/>
        <v/>
      </c>
      <c r="P310" s="104" t="str">
        <f t="shared" si="17"/>
        <v/>
      </c>
      <c r="Q310" s="104" t="str">
        <f>IFERROR(INDEX($M$3:M$350, $P310, COLUMNS($Q$3:Q657)),"")</f>
        <v/>
      </c>
      <c r="R310" s="104"/>
      <c r="V310">
        <v>308</v>
      </c>
      <c r="W310" t="str">
        <f t="shared" si="18"/>
        <v/>
      </c>
      <c r="X310" t="str">
        <f t="shared" si="19"/>
        <v/>
      </c>
      <c r="Y310" s="108" t="str">
        <f>IFERROR(INDEX($T$3:U$352, $X310, COLUMNS($Y$3:Y310)), "")</f>
        <v/>
      </c>
      <c r="Z310" s="108" t="str">
        <f>IFERROR(INDEX($T$3:V$352, $X310, COLUMNS($Y$3:Z310)), "")</f>
        <v/>
      </c>
    </row>
    <row r="311" spans="11:26" x14ac:dyDescent="0.25">
      <c r="K311" s="104"/>
      <c r="L311" s="104"/>
      <c r="M311" s="104"/>
      <c r="N311" s="104">
        <v>309</v>
      </c>
      <c r="O311" s="104" t="str">
        <f t="shared" si="16"/>
        <v/>
      </c>
      <c r="P311" s="104" t="str">
        <f t="shared" si="17"/>
        <v/>
      </c>
      <c r="Q311" s="104" t="str">
        <f>IFERROR(INDEX($M$3:M$350, $P311, COLUMNS($Q$3:Q658)),"")</f>
        <v/>
      </c>
      <c r="R311" s="104"/>
      <c r="V311">
        <v>309</v>
      </c>
      <c r="W311" t="str">
        <f t="shared" si="18"/>
        <v/>
      </c>
      <c r="X311" t="str">
        <f t="shared" si="19"/>
        <v/>
      </c>
      <c r="Y311" s="108" t="str">
        <f>IFERROR(INDEX($T$3:U$352, $X311, COLUMNS($Y$3:Y311)), "")</f>
        <v/>
      </c>
      <c r="Z311" s="108" t="str">
        <f>IFERROR(INDEX($T$3:V$352, $X311, COLUMNS($Y$3:Z311)), "")</f>
        <v/>
      </c>
    </row>
    <row r="312" spans="11:26" x14ac:dyDescent="0.25">
      <c r="K312" s="104"/>
      <c r="L312" s="104"/>
      <c r="M312" s="104"/>
      <c r="N312" s="104">
        <v>310</v>
      </c>
      <c r="O312" s="104" t="str">
        <f t="shared" si="16"/>
        <v/>
      </c>
      <c r="P312" s="104" t="str">
        <f t="shared" si="17"/>
        <v/>
      </c>
      <c r="Q312" s="104" t="str">
        <f>IFERROR(INDEX($M$3:M$350, $P312, COLUMNS($Q$3:Q659)),"")</f>
        <v/>
      </c>
      <c r="R312" s="104"/>
      <c r="V312">
        <v>310</v>
      </c>
      <c r="W312" t="str">
        <f t="shared" si="18"/>
        <v/>
      </c>
      <c r="X312" t="str">
        <f t="shared" si="19"/>
        <v/>
      </c>
      <c r="Y312" s="108" t="str">
        <f>IFERROR(INDEX($T$3:U$352, $X312, COLUMNS($Y$3:Y312)), "")</f>
        <v/>
      </c>
      <c r="Z312" s="108" t="str">
        <f>IFERROR(INDEX($T$3:V$352, $X312, COLUMNS($Y$3:Z312)), "")</f>
        <v/>
      </c>
    </row>
    <row r="313" spans="11:26" x14ac:dyDescent="0.25">
      <c r="K313" s="104"/>
      <c r="L313" s="104"/>
      <c r="M313" s="104"/>
      <c r="N313" s="104">
        <v>311</v>
      </c>
      <c r="O313" s="104" t="str">
        <f t="shared" si="16"/>
        <v/>
      </c>
      <c r="P313" s="104" t="str">
        <f t="shared" si="17"/>
        <v/>
      </c>
      <c r="Q313" s="104" t="str">
        <f>IFERROR(INDEX($M$3:M$350, $P313, COLUMNS($Q$3:Q660)),"")</f>
        <v/>
      </c>
      <c r="R313" s="104"/>
      <c r="V313">
        <v>311</v>
      </c>
      <c r="W313" t="str">
        <f t="shared" si="18"/>
        <v/>
      </c>
      <c r="X313" t="str">
        <f t="shared" si="19"/>
        <v/>
      </c>
      <c r="Y313" s="108" t="str">
        <f>IFERROR(INDEX($T$3:U$352, $X313, COLUMNS($Y$3:Y313)), "")</f>
        <v/>
      </c>
      <c r="Z313" s="108" t="str">
        <f>IFERROR(INDEX($T$3:V$352, $X313, COLUMNS($Y$3:Z313)), "")</f>
        <v/>
      </c>
    </row>
    <row r="314" spans="11:26" x14ac:dyDescent="0.25">
      <c r="K314" s="104"/>
      <c r="L314" s="104"/>
      <c r="M314" s="104"/>
      <c r="N314" s="104">
        <v>312</v>
      </c>
      <c r="O314" s="104" t="str">
        <f t="shared" si="16"/>
        <v/>
      </c>
      <c r="P314" s="104" t="str">
        <f t="shared" si="17"/>
        <v/>
      </c>
      <c r="Q314" s="104" t="str">
        <f>IFERROR(INDEX($M$3:M$350, $P314, COLUMNS($Q$3:Q661)),"")</f>
        <v/>
      </c>
      <c r="R314" s="104"/>
      <c r="V314">
        <v>312</v>
      </c>
      <c r="W314" t="str">
        <f t="shared" si="18"/>
        <v/>
      </c>
      <c r="X314" t="str">
        <f t="shared" si="19"/>
        <v/>
      </c>
      <c r="Y314" s="108" t="str">
        <f>IFERROR(INDEX($T$3:U$352, $X314, COLUMNS($Y$3:Y314)), "")</f>
        <v/>
      </c>
      <c r="Z314" s="108" t="str">
        <f>IFERROR(INDEX($T$3:V$352, $X314, COLUMNS($Y$3:Z314)), "")</f>
        <v/>
      </c>
    </row>
    <row r="315" spans="11:26" x14ac:dyDescent="0.25">
      <c r="K315" s="104"/>
      <c r="L315" s="104"/>
      <c r="M315" s="104"/>
      <c r="N315" s="104">
        <v>313</v>
      </c>
      <c r="O315" s="104" t="str">
        <f t="shared" si="16"/>
        <v/>
      </c>
      <c r="P315" s="104" t="str">
        <f t="shared" si="17"/>
        <v/>
      </c>
      <c r="Q315" s="104" t="str">
        <f>IFERROR(INDEX($M$3:M$350, $P315, COLUMNS($Q$3:Q662)),"")</f>
        <v/>
      </c>
      <c r="R315" s="104"/>
      <c r="V315">
        <v>313</v>
      </c>
      <c r="W315" t="str">
        <f t="shared" si="18"/>
        <v/>
      </c>
      <c r="X315" t="str">
        <f t="shared" si="19"/>
        <v/>
      </c>
      <c r="Y315" s="108" t="str">
        <f>IFERROR(INDEX($T$3:U$352, $X315, COLUMNS($Y$3:Y315)), "")</f>
        <v/>
      </c>
      <c r="Z315" s="108" t="str">
        <f>IFERROR(INDEX($T$3:V$352, $X315, COLUMNS($Y$3:Z315)), "")</f>
        <v/>
      </c>
    </row>
    <row r="316" spans="11:26" x14ac:dyDescent="0.25">
      <c r="K316" s="104"/>
      <c r="L316" s="104"/>
      <c r="M316" s="104"/>
      <c r="N316" s="104">
        <v>314</v>
      </c>
      <c r="O316" s="104" t="str">
        <f t="shared" si="16"/>
        <v/>
      </c>
      <c r="P316" s="104" t="str">
        <f t="shared" si="17"/>
        <v/>
      </c>
      <c r="Q316" s="104" t="str">
        <f>IFERROR(INDEX($M$3:M$350, $P316, COLUMNS($Q$3:Q663)),"")</f>
        <v/>
      </c>
      <c r="R316" s="104"/>
      <c r="V316">
        <v>314</v>
      </c>
      <c r="W316" t="str">
        <f t="shared" si="18"/>
        <v/>
      </c>
      <c r="X316" t="str">
        <f t="shared" si="19"/>
        <v/>
      </c>
      <c r="Y316" s="108" t="str">
        <f>IFERROR(INDEX($T$3:U$352, $X316, COLUMNS($Y$3:Y316)), "")</f>
        <v/>
      </c>
      <c r="Z316" s="108" t="str">
        <f>IFERROR(INDEX($T$3:V$352, $X316, COLUMNS($Y$3:Z316)), "")</f>
        <v/>
      </c>
    </row>
    <row r="317" spans="11:26" x14ac:dyDescent="0.25">
      <c r="K317" s="104"/>
      <c r="L317" s="104"/>
      <c r="M317" s="104"/>
      <c r="N317" s="104">
        <v>315</v>
      </c>
      <c r="O317" s="104" t="str">
        <f t="shared" si="16"/>
        <v/>
      </c>
      <c r="P317" s="104" t="str">
        <f t="shared" si="17"/>
        <v/>
      </c>
      <c r="Q317" s="104" t="str">
        <f>IFERROR(INDEX($M$3:M$350, $P317, COLUMNS($Q$3:Q664)),"")</f>
        <v/>
      </c>
      <c r="R317" s="104"/>
      <c r="V317">
        <v>315</v>
      </c>
      <c r="W317" t="str">
        <f t="shared" si="18"/>
        <v/>
      </c>
      <c r="X317" t="str">
        <f t="shared" si="19"/>
        <v/>
      </c>
      <c r="Y317" s="108" t="str">
        <f>IFERROR(INDEX($T$3:U$352, $X317, COLUMNS($Y$3:Y317)), "")</f>
        <v/>
      </c>
      <c r="Z317" s="108" t="str">
        <f>IFERROR(INDEX($T$3:V$352, $X317, COLUMNS($Y$3:Z317)), "")</f>
        <v/>
      </c>
    </row>
    <row r="318" spans="11:26" x14ac:dyDescent="0.25">
      <c r="K318" s="104"/>
      <c r="L318" s="104"/>
      <c r="M318" s="104"/>
      <c r="N318" s="104">
        <v>316</v>
      </c>
      <c r="O318" s="104" t="str">
        <f t="shared" si="16"/>
        <v/>
      </c>
      <c r="P318" s="104" t="str">
        <f t="shared" si="17"/>
        <v/>
      </c>
      <c r="Q318" s="104" t="str">
        <f>IFERROR(INDEX($M$3:M$350, $P318, COLUMNS($Q$3:Q665)),"")</f>
        <v/>
      </c>
      <c r="R318" s="104"/>
      <c r="V318">
        <v>316</v>
      </c>
      <c r="W318" t="str">
        <f t="shared" si="18"/>
        <v/>
      </c>
      <c r="X318" t="str">
        <f t="shared" si="19"/>
        <v/>
      </c>
      <c r="Y318" s="108" t="str">
        <f>IFERROR(INDEX($T$3:U$352, $X318, COLUMNS($Y$3:Y318)), "")</f>
        <v/>
      </c>
      <c r="Z318" s="108" t="str">
        <f>IFERROR(INDEX($T$3:V$352, $X318, COLUMNS($Y$3:Z318)), "")</f>
        <v/>
      </c>
    </row>
    <row r="319" spans="11:26" x14ac:dyDescent="0.25">
      <c r="K319" s="104"/>
      <c r="L319" s="104"/>
      <c r="M319" s="104"/>
      <c r="N319" s="104">
        <v>317</v>
      </c>
      <c r="O319" s="104" t="str">
        <f t="shared" si="16"/>
        <v/>
      </c>
      <c r="P319" s="104" t="str">
        <f t="shared" si="17"/>
        <v/>
      </c>
      <c r="Q319" s="104" t="str">
        <f>IFERROR(INDEX($M$3:M$350, $P319, COLUMNS($Q$3:Q666)),"")</f>
        <v/>
      </c>
      <c r="R319" s="104"/>
      <c r="V319">
        <v>317</v>
      </c>
      <c r="W319" t="str">
        <f t="shared" si="18"/>
        <v/>
      </c>
      <c r="X319" t="str">
        <f t="shared" si="19"/>
        <v/>
      </c>
      <c r="Y319" s="108" t="str">
        <f>IFERROR(INDEX($T$3:U$352, $X319, COLUMNS($Y$3:Y319)), "")</f>
        <v/>
      </c>
      <c r="Z319" s="108" t="str">
        <f>IFERROR(INDEX($T$3:V$352, $X319, COLUMNS($Y$3:Z319)), "")</f>
        <v/>
      </c>
    </row>
    <row r="320" spans="11:26" x14ac:dyDescent="0.25">
      <c r="K320" s="104"/>
      <c r="L320" s="104"/>
      <c r="M320" s="104"/>
      <c r="N320" s="104">
        <v>318</v>
      </c>
      <c r="O320" s="104" t="str">
        <f t="shared" si="16"/>
        <v/>
      </c>
      <c r="P320" s="104" t="str">
        <f t="shared" si="17"/>
        <v/>
      </c>
      <c r="Q320" s="104" t="str">
        <f>IFERROR(INDEX($M$3:M$350, $P320, COLUMNS($Q$3:Q667)),"")</f>
        <v/>
      </c>
      <c r="R320" s="104"/>
      <c r="V320">
        <v>318</v>
      </c>
      <c r="W320" t="str">
        <f t="shared" si="18"/>
        <v/>
      </c>
      <c r="X320" t="str">
        <f t="shared" si="19"/>
        <v/>
      </c>
      <c r="Y320" s="108" t="str">
        <f>IFERROR(INDEX($T$3:U$352, $X320, COLUMNS($Y$3:Y320)), "")</f>
        <v/>
      </c>
      <c r="Z320" s="108" t="str">
        <f>IFERROR(INDEX($T$3:V$352, $X320, COLUMNS($Y$3:Z320)), "")</f>
        <v/>
      </c>
    </row>
    <row r="321" spans="11:26" x14ac:dyDescent="0.25">
      <c r="K321" s="104"/>
      <c r="L321" s="104"/>
      <c r="M321" s="104"/>
      <c r="N321" s="104">
        <v>319</v>
      </c>
      <c r="O321" s="104" t="str">
        <f t="shared" si="16"/>
        <v/>
      </c>
      <c r="P321" s="104" t="str">
        <f t="shared" si="17"/>
        <v/>
      </c>
      <c r="Q321" s="104" t="str">
        <f>IFERROR(INDEX($M$3:M$350, $P321, COLUMNS($Q$3:Q668)),"")</f>
        <v/>
      </c>
      <c r="R321" s="104"/>
      <c r="V321">
        <v>319</v>
      </c>
      <c r="W321" t="str">
        <f t="shared" si="18"/>
        <v/>
      </c>
      <c r="X321" t="str">
        <f t="shared" si="19"/>
        <v/>
      </c>
      <c r="Y321" s="108" t="str">
        <f>IFERROR(INDEX($T$3:U$352, $X321, COLUMNS($Y$3:Y321)), "")</f>
        <v/>
      </c>
      <c r="Z321" s="108" t="str">
        <f>IFERROR(INDEX($T$3:V$352, $X321, COLUMNS($Y$3:Z321)), "")</f>
        <v/>
      </c>
    </row>
    <row r="322" spans="11:26" x14ac:dyDescent="0.25">
      <c r="K322" s="104"/>
      <c r="L322" s="104"/>
      <c r="M322" s="104"/>
      <c r="N322" s="104">
        <v>320</v>
      </c>
      <c r="O322" s="104" t="str">
        <f t="shared" si="16"/>
        <v/>
      </c>
      <c r="P322" s="104" t="str">
        <f t="shared" si="17"/>
        <v/>
      </c>
      <c r="Q322" s="104" t="str">
        <f>IFERROR(INDEX($M$3:M$350, $P322, COLUMNS($Q$3:Q669)),"")</f>
        <v/>
      </c>
      <c r="R322" s="104"/>
      <c r="V322">
        <v>320</v>
      </c>
      <c r="W322" t="str">
        <f t="shared" si="18"/>
        <v/>
      </c>
      <c r="X322" t="str">
        <f t="shared" si="19"/>
        <v/>
      </c>
      <c r="Y322" s="108" t="str">
        <f>IFERROR(INDEX($T$3:U$352, $X322, COLUMNS($Y$3:Y322)), "")</f>
        <v/>
      </c>
      <c r="Z322" s="108" t="str">
        <f>IFERROR(INDEX($T$3:V$352, $X322, COLUMNS($Y$3:Z322)), "")</f>
        <v/>
      </c>
    </row>
    <row r="323" spans="11:26" x14ac:dyDescent="0.25">
      <c r="K323" s="104"/>
      <c r="L323" s="104"/>
      <c r="M323" s="104"/>
      <c r="N323" s="104">
        <v>321</v>
      </c>
      <c r="O323" s="104" t="str">
        <f t="shared" si="16"/>
        <v/>
      </c>
      <c r="P323" s="104" t="str">
        <f t="shared" si="17"/>
        <v/>
      </c>
      <c r="Q323" s="104" t="str">
        <f>IFERROR(INDEX($M$3:M$350, $P323, COLUMNS($Q$3:Q670)),"")</f>
        <v/>
      </c>
      <c r="R323" s="104"/>
      <c r="V323">
        <v>321</v>
      </c>
      <c r="W323" t="str">
        <f t="shared" si="18"/>
        <v/>
      </c>
      <c r="X323" t="str">
        <f t="shared" si="19"/>
        <v/>
      </c>
      <c r="Y323" s="108" t="str">
        <f>IFERROR(INDEX($T$3:U$352, $X323, COLUMNS($Y$3:Y323)), "")</f>
        <v/>
      </c>
      <c r="Z323" s="108" t="str">
        <f>IFERROR(INDEX($T$3:V$352, $X323, COLUMNS($Y$3:Z323)), "")</f>
        <v/>
      </c>
    </row>
    <row r="324" spans="11:26" x14ac:dyDescent="0.25">
      <c r="K324" s="104"/>
      <c r="L324" s="104"/>
      <c r="M324" s="104"/>
      <c r="N324" s="104">
        <v>322</v>
      </c>
      <c r="O324" s="104" t="str">
        <f t="shared" ref="O324:O334" si="20">IF(ISNUMBER(SEARCH($K$4, L324)), N324, "")</f>
        <v/>
      </c>
      <c r="P324" s="104" t="str">
        <f t="shared" ref="P324:P352" si="21">IFERROR(SMALL($O$3:$O$352, N324), "")</f>
        <v/>
      </c>
      <c r="Q324" s="104" t="str">
        <f>IFERROR(INDEX($M$3:M$350, $P324, COLUMNS($Q$3:Q671)),"")</f>
        <v/>
      </c>
      <c r="R324" s="104"/>
      <c r="V324">
        <v>322</v>
      </c>
      <c r="W324" t="str">
        <f t="shared" ref="W324:W352" si="22">IF(ISNUMBER(SEARCH($R$3, S324)), V324, "")</f>
        <v/>
      </c>
      <c r="X324" t="str">
        <f t="shared" si="19"/>
        <v/>
      </c>
      <c r="Y324" s="108" t="str">
        <f>IFERROR(INDEX($T$3:U$352, $X324, COLUMNS($Y$3:Y324)), "")</f>
        <v/>
      </c>
      <c r="Z324" s="108" t="str">
        <f>IFERROR(INDEX($T$3:V$352, $X324, COLUMNS($Y$3:Z324)), "")</f>
        <v/>
      </c>
    </row>
    <row r="325" spans="11:26" x14ac:dyDescent="0.25">
      <c r="K325" s="104"/>
      <c r="L325" s="104"/>
      <c r="M325" s="104"/>
      <c r="N325" s="104">
        <v>323</v>
      </c>
      <c r="O325" s="104" t="str">
        <f t="shared" si="20"/>
        <v/>
      </c>
      <c r="P325" s="104" t="str">
        <f t="shared" si="21"/>
        <v/>
      </c>
      <c r="Q325" s="104" t="str">
        <f>IFERROR(INDEX($M$3:M$350, $P325, COLUMNS($Q$3:Q672)),"")</f>
        <v/>
      </c>
      <c r="R325" s="104"/>
      <c r="V325">
        <v>323</v>
      </c>
      <c r="W325" t="str">
        <f t="shared" si="22"/>
        <v/>
      </c>
      <c r="X325" t="str">
        <f t="shared" ref="X325:X352" si="23">IFERROR(SMALL($W$3:$W$165, V325), "")</f>
        <v/>
      </c>
      <c r="Y325" s="108" t="str">
        <f>IFERROR(INDEX($T$3:U$352, $X325, COLUMNS($Y$3:Y325)), "")</f>
        <v/>
      </c>
      <c r="Z325" s="108" t="str">
        <f>IFERROR(INDEX($T$3:V$352, $X325, COLUMNS($Y$3:Z325)), "")</f>
        <v/>
      </c>
    </row>
    <row r="326" spans="11:26" x14ac:dyDescent="0.25">
      <c r="K326" s="104"/>
      <c r="L326" s="104"/>
      <c r="M326" s="104"/>
      <c r="N326" s="104">
        <v>324</v>
      </c>
      <c r="O326" s="104" t="str">
        <f t="shared" si="20"/>
        <v/>
      </c>
      <c r="P326" s="104" t="str">
        <f t="shared" si="21"/>
        <v/>
      </c>
      <c r="Q326" s="104" t="str">
        <f>IFERROR(INDEX($M$3:M$350, $P326, COLUMNS($Q$3:Q673)),"")</f>
        <v/>
      </c>
      <c r="R326" s="104"/>
      <c r="V326">
        <v>324</v>
      </c>
      <c r="W326" t="str">
        <f t="shared" si="22"/>
        <v/>
      </c>
      <c r="X326" t="str">
        <f t="shared" si="23"/>
        <v/>
      </c>
      <c r="Y326" s="108" t="str">
        <f>IFERROR(INDEX($T$3:U$352, $X326, COLUMNS($Y$3:Y326)), "")</f>
        <v/>
      </c>
      <c r="Z326" s="108" t="str">
        <f>IFERROR(INDEX($T$3:V$352, $X326, COLUMNS($Y$3:Z326)), "")</f>
        <v/>
      </c>
    </row>
    <row r="327" spans="11:26" x14ac:dyDescent="0.25">
      <c r="K327" s="104"/>
      <c r="L327" s="104"/>
      <c r="M327" s="104"/>
      <c r="N327" s="104">
        <v>325</v>
      </c>
      <c r="O327" s="104" t="str">
        <f t="shared" si="20"/>
        <v/>
      </c>
      <c r="P327" s="104" t="str">
        <f t="shared" si="21"/>
        <v/>
      </c>
      <c r="Q327" s="104" t="str">
        <f>IFERROR(INDEX($M$3:M$350, $P327, COLUMNS($Q$3:Q674)),"")</f>
        <v/>
      </c>
      <c r="R327" s="104"/>
      <c r="V327">
        <v>325</v>
      </c>
      <c r="W327" t="str">
        <f t="shared" si="22"/>
        <v/>
      </c>
      <c r="X327" t="str">
        <f t="shared" si="23"/>
        <v/>
      </c>
      <c r="Y327" s="108" t="str">
        <f>IFERROR(INDEX($T$3:U$352, $X327, COLUMNS($Y$3:Y327)), "")</f>
        <v/>
      </c>
      <c r="Z327" s="108" t="str">
        <f>IFERROR(INDEX($T$3:V$352, $X327, COLUMNS($Y$3:Z327)), "")</f>
        <v/>
      </c>
    </row>
    <row r="328" spans="11:26" x14ac:dyDescent="0.25">
      <c r="K328" s="104"/>
      <c r="L328" s="104"/>
      <c r="M328" s="104"/>
      <c r="N328" s="104">
        <v>326</v>
      </c>
      <c r="O328" s="104" t="str">
        <f t="shared" si="20"/>
        <v/>
      </c>
      <c r="P328" s="104" t="str">
        <f t="shared" si="21"/>
        <v/>
      </c>
      <c r="Q328" s="104" t="str">
        <f>IFERROR(INDEX($M$3:M$350, $P328, COLUMNS($Q$3:Q675)),"")</f>
        <v/>
      </c>
      <c r="R328" s="104"/>
      <c r="V328">
        <v>326</v>
      </c>
      <c r="W328" t="str">
        <f t="shared" si="22"/>
        <v/>
      </c>
      <c r="X328" t="str">
        <f t="shared" si="23"/>
        <v/>
      </c>
      <c r="Y328" s="108" t="str">
        <f>IFERROR(INDEX($T$3:U$352, $X328, COLUMNS($Y$3:Y328)), "")</f>
        <v/>
      </c>
      <c r="Z328" s="108" t="str">
        <f>IFERROR(INDEX($T$3:V$352, $X328, COLUMNS($Y$3:Z328)), "")</f>
        <v/>
      </c>
    </row>
    <row r="329" spans="11:26" x14ac:dyDescent="0.25">
      <c r="K329" s="104"/>
      <c r="L329" s="104"/>
      <c r="M329" s="104"/>
      <c r="N329" s="104">
        <v>327</v>
      </c>
      <c r="O329" s="104" t="str">
        <f t="shared" si="20"/>
        <v/>
      </c>
      <c r="P329" s="104" t="str">
        <f t="shared" si="21"/>
        <v/>
      </c>
      <c r="Q329" s="104" t="str">
        <f>IFERROR(INDEX($M$3:M$350, $P329, COLUMNS($Q$3:Q676)),"")</f>
        <v/>
      </c>
      <c r="R329" s="104"/>
      <c r="V329">
        <v>327</v>
      </c>
      <c r="W329" t="str">
        <f t="shared" si="22"/>
        <v/>
      </c>
      <c r="X329" t="str">
        <f t="shared" si="23"/>
        <v/>
      </c>
      <c r="Y329" s="108" t="str">
        <f>IFERROR(INDEX($T$3:U$352, $X329, COLUMNS($Y$3:Y329)), "")</f>
        <v/>
      </c>
      <c r="Z329" s="108" t="str">
        <f>IFERROR(INDEX($T$3:V$352, $X329, COLUMNS($Y$3:Z329)), "")</f>
        <v/>
      </c>
    </row>
    <row r="330" spans="11:26" x14ac:dyDescent="0.25">
      <c r="K330" s="104"/>
      <c r="L330" s="104"/>
      <c r="M330" s="104"/>
      <c r="N330" s="104">
        <v>328</v>
      </c>
      <c r="O330" s="104" t="str">
        <f t="shared" si="20"/>
        <v/>
      </c>
      <c r="P330" s="104" t="str">
        <f t="shared" si="21"/>
        <v/>
      </c>
      <c r="Q330" s="104" t="str">
        <f>IFERROR(INDEX($M$3:M$350, $P330, COLUMNS($Q$3:Q677)),"")</f>
        <v/>
      </c>
      <c r="R330" s="104"/>
      <c r="V330">
        <v>328</v>
      </c>
      <c r="W330" t="str">
        <f t="shared" si="22"/>
        <v/>
      </c>
      <c r="X330" t="str">
        <f t="shared" si="23"/>
        <v/>
      </c>
      <c r="Y330" s="108" t="str">
        <f>IFERROR(INDEX($T$3:U$352, $X330, COLUMNS($Y$3:Y330)), "")</f>
        <v/>
      </c>
      <c r="Z330" s="108" t="str">
        <f>IFERROR(INDEX($T$3:V$352, $X330, COLUMNS($Y$3:Z330)), "")</f>
        <v/>
      </c>
    </row>
    <row r="331" spans="11:26" x14ac:dyDescent="0.25">
      <c r="K331" s="104"/>
      <c r="L331" s="104"/>
      <c r="M331" s="104"/>
      <c r="N331" s="104">
        <v>329</v>
      </c>
      <c r="O331" s="104" t="str">
        <f t="shared" si="20"/>
        <v/>
      </c>
      <c r="P331" s="104" t="str">
        <f t="shared" si="21"/>
        <v/>
      </c>
      <c r="Q331" s="104" t="str">
        <f>IFERROR(INDEX($M$3:M$350, $P331, COLUMNS($Q$3:Q678)),"")</f>
        <v/>
      </c>
      <c r="R331" s="104"/>
      <c r="V331">
        <v>329</v>
      </c>
      <c r="W331" t="str">
        <f t="shared" si="22"/>
        <v/>
      </c>
      <c r="X331" t="str">
        <f t="shared" si="23"/>
        <v/>
      </c>
      <c r="Y331" s="108" t="str">
        <f>IFERROR(INDEX($T$3:U$352, $X331, COLUMNS($Y$3:Y331)), "")</f>
        <v/>
      </c>
      <c r="Z331" s="108" t="str">
        <f>IFERROR(INDEX($T$3:V$352, $X331, COLUMNS($Y$3:Z331)), "")</f>
        <v/>
      </c>
    </row>
    <row r="332" spans="11:26" x14ac:dyDescent="0.25">
      <c r="K332" s="104"/>
      <c r="L332" s="104"/>
      <c r="M332" s="104"/>
      <c r="N332" s="104">
        <v>330</v>
      </c>
      <c r="O332" s="104" t="str">
        <f t="shared" si="20"/>
        <v/>
      </c>
      <c r="P332" s="104" t="str">
        <f t="shared" si="21"/>
        <v/>
      </c>
      <c r="Q332" s="104" t="str">
        <f>IFERROR(INDEX($M$3:M$350, $P332, COLUMNS($Q$3:Q679)),"")</f>
        <v/>
      </c>
      <c r="R332" s="104"/>
      <c r="V332">
        <v>330</v>
      </c>
      <c r="W332" t="str">
        <f t="shared" si="22"/>
        <v/>
      </c>
      <c r="X332" t="str">
        <f t="shared" si="23"/>
        <v/>
      </c>
      <c r="Y332" s="108" t="str">
        <f>IFERROR(INDEX($T$3:U$352, $X332, COLUMNS($Y$3:Y332)), "")</f>
        <v/>
      </c>
      <c r="Z332" s="108" t="str">
        <f>IFERROR(INDEX($T$3:V$352, $X332, COLUMNS($Y$3:Z332)), "")</f>
        <v/>
      </c>
    </row>
    <row r="333" spans="11:26" x14ac:dyDescent="0.25">
      <c r="K333" s="104"/>
      <c r="L333" s="104"/>
      <c r="M333" s="104"/>
      <c r="N333" s="104">
        <v>331</v>
      </c>
      <c r="O333" s="104" t="str">
        <f t="shared" si="20"/>
        <v/>
      </c>
      <c r="P333" s="104" t="str">
        <f t="shared" si="21"/>
        <v/>
      </c>
      <c r="Q333" s="104" t="str">
        <f>IFERROR(INDEX($M$3:M$350, $P333, COLUMNS($Q$3:Q680)),"")</f>
        <v/>
      </c>
      <c r="R333" s="104"/>
      <c r="V333">
        <v>331</v>
      </c>
      <c r="W333" t="str">
        <f t="shared" si="22"/>
        <v/>
      </c>
      <c r="X333" t="str">
        <f t="shared" si="23"/>
        <v/>
      </c>
      <c r="Y333" s="108" t="str">
        <f>IFERROR(INDEX($T$3:U$352, $X333, COLUMNS($Y$3:Y333)), "")</f>
        <v/>
      </c>
      <c r="Z333" s="108" t="str">
        <f>IFERROR(INDEX($T$3:V$352, $X333, COLUMNS($Y$3:Z333)), "")</f>
        <v/>
      </c>
    </row>
    <row r="334" spans="11:26" x14ac:dyDescent="0.25">
      <c r="K334" s="104"/>
      <c r="L334" s="104"/>
      <c r="M334" s="104"/>
      <c r="N334" s="104">
        <v>332</v>
      </c>
      <c r="O334" s="104" t="str">
        <f t="shared" si="20"/>
        <v/>
      </c>
      <c r="P334" s="104" t="str">
        <f t="shared" si="21"/>
        <v/>
      </c>
      <c r="Q334" s="104" t="str">
        <f>IFERROR(INDEX($M$3:M$350, $P334, COLUMNS($Q$3:Q681)),"")</f>
        <v/>
      </c>
      <c r="R334" s="104"/>
      <c r="V334">
        <v>332</v>
      </c>
      <c r="W334" t="str">
        <f t="shared" si="22"/>
        <v/>
      </c>
      <c r="X334" t="str">
        <f t="shared" si="23"/>
        <v/>
      </c>
      <c r="Y334" s="108" t="str">
        <f>IFERROR(INDEX($T$3:U$352, $X334, COLUMNS($Y$3:Y334)), "")</f>
        <v/>
      </c>
      <c r="Z334" s="108" t="str">
        <f>IFERROR(INDEX($T$3:V$352, $X334, COLUMNS($Y$3:Z334)), "")</f>
        <v/>
      </c>
    </row>
    <row r="335" spans="11:26" x14ac:dyDescent="0.25">
      <c r="K335" s="104"/>
      <c r="L335" s="104"/>
      <c r="M335" s="104"/>
      <c r="N335" s="104">
        <v>333</v>
      </c>
      <c r="O335" s="104" t="str">
        <f t="shared" ref="O335:O352" si="24">IF(ISNUMBER(SEARCH($K$4, L335)), N335, "")</f>
        <v/>
      </c>
      <c r="P335" s="104" t="str">
        <f t="shared" si="21"/>
        <v/>
      </c>
      <c r="Q335" s="104" t="str">
        <f>IFERROR(INDEX($M$3:M$350, $P335, COLUMNS($Q$3:Q682)),"")</f>
        <v/>
      </c>
      <c r="R335" s="104"/>
      <c r="V335">
        <v>333</v>
      </c>
      <c r="W335" t="str">
        <f t="shared" si="22"/>
        <v/>
      </c>
      <c r="X335" t="str">
        <f t="shared" si="23"/>
        <v/>
      </c>
      <c r="Y335" s="108" t="str">
        <f>IFERROR(INDEX($T$3:U$352, $X335, COLUMNS($Y$3:Y335)), "")</f>
        <v/>
      </c>
      <c r="Z335" s="108" t="str">
        <f>IFERROR(INDEX($T$3:V$352, $X335, COLUMNS($Y$3:Z335)), "")</f>
        <v/>
      </c>
    </row>
    <row r="336" spans="11:26" x14ac:dyDescent="0.25">
      <c r="K336" s="104"/>
      <c r="L336" s="104"/>
      <c r="M336" s="104"/>
      <c r="N336" s="104">
        <v>334</v>
      </c>
      <c r="O336" s="104" t="str">
        <f t="shared" si="24"/>
        <v/>
      </c>
      <c r="P336" s="104" t="str">
        <f t="shared" si="21"/>
        <v/>
      </c>
      <c r="Q336" s="104" t="str">
        <f>IFERROR(INDEX($M$3:M$350, $P336, COLUMNS($Q$3:Q683)),"")</f>
        <v/>
      </c>
      <c r="R336" s="104"/>
      <c r="V336">
        <v>334</v>
      </c>
      <c r="W336" t="str">
        <f t="shared" si="22"/>
        <v/>
      </c>
      <c r="X336" t="str">
        <f t="shared" si="23"/>
        <v/>
      </c>
      <c r="Y336" s="108" t="str">
        <f>IFERROR(INDEX($T$3:U$352, $X336, COLUMNS($Y$3:Y336)), "")</f>
        <v/>
      </c>
      <c r="Z336" s="108" t="str">
        <f>IFERROR(INDEX($T$3:V$352, $X336, COLUMNS($Y$3:Z336)), "")</f>
        <v/>
      </c>
    </row>
    <row r="337" spans="11:26" x14ac:dyDescent="0.25">
      <c r="K337" s="104"/>
      <c r="L337" s="104"/>
      <c r="M337" s="104"/>
      <c r="N337" s="104">
        <v>335</v>
      </c>
      <c r="O337" s="104" t="str">
        <f t="shared" si="24"/>
        <v/>
      </c>
      <c r="P337" s="104" t="str">
        <f t="shared" si="21"/>
        <v/>
      </c>
      <c r="Q337" s="104" t="str">
        <f>IFERROR(INDEX($M$3:M$350, $P337, COLUMNS($Q$3:Q684)),"")</f>
        <v/>
      </c>
      <c r="R337" s="104"/>
      <c r="V337">
        <v>335</v>
      </c>
      <c r="W337" t="str">
        <f t="shared" si="22"/>
        <v/>
      </c>
      <c r="X337" t="str">
        <f t="shared" si="23"/>
        <v/>
      </c>
      <c r="Y337" s="108" t="str">
        <f>IFERROR(INDEX($T$3:U$352, $X337, COLUMNS($Y$3:Y337)), "")</f>
        <v/>
      </c>
      <c r="Z337" s="108" t="str">
        <f>IFERROR(INDEX($T$3:V$352, $X337, COLUMNS($Y$3:Z337)), "")</f>
        <v/>
      </c>
    </row>
    <row r="338" spans="11:26" x14ac:dyDescent="0.25">
      <c r="K338" s="104"/>
      <c r="L338" s="104"/>
      <c r="M338" s="104"/>
      <c r="N338" s="104">
        <v>336</v>
      </c>
      <c r="O338" s="104" t="str">
        <f t="shared" si="24"/>
        <v/>
      </c>
      <c r="P338" s="104" t="str">
        <f t="shared" si="21"/>
        <v/>
      </c>
      <c r="Q338" s="104" t="str">
        <f>IFERROR(INDEX($M$3:M$350, $P338, COLUMNS($Q$3:Q685)),"")</f>
        <v/>
      </c>
      <c r="R338" s="104"/>
      <c r="V338">
        <v>336</v>
      </c>
      <c r="W338" t="str">
        <f t="shared" si="22"/>
        <v/>
      </c>
      <c r="X338" t="str">
        <f t="shared" si="23"/>
        <v/>
      </c>
      <c r="Y338" s="108" t="str">
        <f>IFERROR(INDEX($T$3:U$352, $X338, COLUMNS($Y$3:Y338)), "")</f>
        <v/>
      </c>
      <c r="Z338" s="108" t="str">
        <f>IFERROR(INDEX($T$3:V$352, $X338, COLUMNS($Y$3:Z338)), "")</f>
        <v/>
      </c>
    </row>
    <row r="339" spans="11:26" x14ac:dyDescent="0.25">
      <c r="K339" s="104"/>
      <c r="L339" s="104"/>
      <c r="M339" s="104"/>
      <c r="N339" s="104">
        <v>337</v>
      </c>
      <c r="O339" s="104" t="str">
        <f t="shared" si="24"/>
        <v/>
      </c>
      <c r="P339" s="104" t="str">
        <f t="shared" si="21"/>
        <v/>
      </c>
      <c r="Q339" s="104" t="str">
        <f>IFERROR(INDEX($M$3:M$350, $P339, COLUMNS($Q$3:Q686)),"")</f>
        <v/>
      </c>
      <c r="R339" s="104"/>
      <c r="V339">
        <v>337</v>
      </c>
      <c r="W339" t="str">
        <f t="shared" si="22"/>
        <v/>
      </c>
      <c r="X339" t="str">
        <f t="shared" si="23"/>
        <v/>
      </c>
      <c r="Y339" s="108" t="str">
        <f>IFERROR(INDEX($T$3:U$352, $X339, COLUMNS($Y$3:Y339)), "")</f>
        <v/>
      </c>
      <c r="Z339" s="108" t="str">
        <f>IFERROR(INDEX($T$3:V$352, $X339, COLUMNS($Y$3:Z339)), "")</f>
        <v/>
      </c>
    </row>
    <row r="340" spans="11:26" x14ac:dyDescent="0.25">
      <c r="K340" s="104"/>
      <c r="L340" s="104"/>
      <c r="M340" s="104"/>
      <c r="N340" s="104">
        <v>338</v>
      </c>
      <c r="O340" s="104" t="str">
        <f t="shared" si="24"/>
        <v/>
      </c>
      <c r="P340" s="104" t="str">
        <f t="shared" si="21"/>
        <v/>
      </c>
      <c r="Q340" s="104" t="str">
        <f>IFERROR(INDEX($M$3:M$350, $P340, COLUMNS($Q$3:Q687)),"")</f>
        <v/>
      </c>
      <c r="R340" s="104"/>
      <c r="V340">
        <v>338</v>
      </c>
      <c r="W340" t="str">
        <f t="shared" si="22"/>
        <v/>
      </c>
      <c r="X340" t="str">
        <f t="shared" si="23"/>
        <v/>
      </c>
      <c r="Y340" s="108" t="str">
        <f>IFERROR(INDEX($T$3:U$352, $X340, COLUMNS($Y$3:Y340)), "")</f>
        <v/>
      </c>
      <c r="Z340" s="108" t="str">
        <f>IFERROR(INDEX($T$3:V$352, $X340, COLUMNS($Y$3:Z340)), "")</f>
        <v/>
      </c>
    </row>
    <row r="341" spans="11:26" x14ac:dyDescent="0.25">
      <c r="K341" s="104"/>
      <c r="L341" s="104"/>
      <c r="M341" s="104"/>
      <c r="N341" s="104">
        <v>339</v>
      </c>
      <c r="O341" s="104" t="str">
        <f t="shared" si="24"/>
        <v/>
      </c>
      <c r="P341" s="104" t="str">
        <f t="shared" si="21"/>
        <v/>
      </c>
      <c r="Q341" s="104" t="str">
        <f>IFERROR(INDEX($M$3:M$350, $P341, COLUMNS($Q$3:Q688)),"")</f>
        <v/>
      </c>
      <c r="R341" s="104"/>
      <c r="V341">
        <v>339</v>
      </c>
      <c r="W341" t="str">
        <f t="shared" si="22"/>
        <v/>
      </c>
      <c r="X341" t="str">
        <f t="shared" si="23"/>
        <v/>
      </c>
      <c r="Y341" s="108" t="str">
        <f>IFERROR(INDEX($T$3:U$352, $X341, COLUMNS($Y$3:Y341)), "")</f>
        <v/>
      </c>
      <c r="Z341" s="108" t="str">
        <f>IFERROR(INDEX($T$3:V$352, $X341, COLUMNS($Y$3:Z341)), "")</f>
        <v/>
      </c>
    </row>
    <row r="342" spans="11:26" x14ac:dyDescent="0.25">
      <c r="K342" s="104"/>
      <c r="L342" s="104"/>
      <c r="M342" s="104"/>
      <c r="N342" s="104">
        <v>340</v>
      </c>
      <c r="O342" s="104" t="str">
        <f t="shared" si="24"/>
        <v/>
      </c>
      <c r="P342" s="104" t="str">
        <f t="shared" si="21"/>
        <v/>
      </c>
      <c r="Q342" s="104" t="str">
        <f>IFERROR(INDEX($M$3:M$350, $P342, COLUMNS($Q$3:Q689)),"")</f>
        <v/>
      </c>
      <c r="R342" s="104"/>
      <c r="V342">
        <v>340</v>
      </c>
      <c r="W342" t="str">
        <f t="shared" si="22"/>
        <v/>
      </c>
      <c r="X342" t="str">
        <f t="shared" si="23"/>
        <v/>
      </c>
      <c r="Y342" s="108" t="str">
        <f>IFERROR(INDEX($T$3:U$352, $X342, COLUMNS($Y$3:Y342)), "")</f>
        <v/>
      </c>
      <c r="Z342" s="108" t="str">
        <f>IFERROR(INDEX($T$3:V$352, $X342, COLUMNS($Y$3:Z342)), "")</f>
        <v/>
      </c>
    </row>
    <row r="343" spans="11:26" x14ac:dyDescent="0.25">
      <c r="K343" s="104"/>
      <c r="L343" s="104"/>
      <c r="M343" s="104"/>
      <c r="N343" s="104">
        <v>341</v>
      </c>
      <c r="O343" s="104" t="str">
        <f t="shared" si="24"/>
        <v/>
      </c>
      <c r="P343" s="104" t="str">
        <f t="shared" si="21"/>
        <v/>
      </c>
      <c r="Q343" s="104" t="str">
        <f>IFERROR(INDEX($M$3:M$350, $P343, COLUMNS($Q$3:Q690)),"")</f>
        <v/>
      </c>
      <c r="R343" s="104"/>
      <c r="V343">
        <v>341</v>
      </c>
      <c r="W343" t="str">
        <f t="shared" si="22"/>
        <v/>
      </c>
      <c r="X343" t="str">
        <f t="shared" si="23"/>
        <v/>
      </c>
      <c r="Y343" s="108" t="str">
        <f>IFERROR(INDEX($T$3:U$352, $X343, COLUMNS($Y$3:Y343)), "")</f>
        <v/>
      </c>
      <c r="Z343" s="108" t="str">
        <f>IFERROR(INDEX($T$3:V$352, $X343, COLUMNS($Y$3:Z343)), "")</f>
        <v/>
      </c>
    </row>
    <row r="344" spans="11:26" x14ac:dyDescent="0.25">
      <c r="K344" s="104"/>
      <c r="L344" s="104"/>
      <c r="M344" s="104"/>
      <c r="N344" s="104">
        <v>342</v>
      </c>
      <c r="O344" s="104" t="str">
        <f t="shared" si="24"/>
        <v/>
      </c>
      <c r="P344" s="104" t="str">
        <f t="shared" si="21"/>
        <v/>
      </c>
      <c r="Q344" s="104" t="str">
        <f>IFERROR(INDEX($M$3:M$350, $P344, COLUMNS($Q$3:Q691)),"")</f>
        <v/>
      </c>
      <c r="R344" s="104"/>
      <c r="V344">
        <v>342</v>
      </c>
      <c r="W344" t="str">
        <f t="shared" si="22"/>
        <v/>
      </c>
      <c r="X344" t="str">
        <f t="shared" si="23"/>
        <v/>
      </c>
      <c r="Y344" s="108" t="str">
        <f>IFERROR(INDEX($T$3:U$352, $X344, COLUMNS($Y$3:Y344)), "")</f>
        <v/>
      </c>
      <c r="Z344" s="108" t="str">
        <f>IFERROR(INDEX($T$3:V$352, $X344, COLUMNS($Y$3:Z344)), "")</f>
        <v/>
      </c>
    </row>
    <row r="345" spans="11:26" x14ac:dyDescent="0.25">
      <c r="K345" s="104"/>
      <c r="L345" s="104"/>
      <c r="M345" s="104"/>
      <c r="N345" s="104">
        <v>343</v>
      </c>
      <c r="O345" s="104" t="str">
        <f t="shared" si="24"/>
        <v/>
      </c>
      <c r="P345" s="104" t="str">
        <f t="shared" si="21"/>
        <v/>
      </c>
      <c r="Q345" s="104" t="str">
        <f>IFERROR(INDEX($M$3:M$350, $P345, COLUMNS($Q$3:Q692)),"")</f>
        <v/>
      </c>
      <c r="R345" s="104"/>
      <c r="V345">
        <v>343</v>
      </c>
      <c r="W345" t="str">
        <f t="shared" si="22"/>
        <v/>
      </c>
      <c r="X345" t="str">
        <f t="shared" si="23"/>
        <v/>
      </c>
      <c r="Y345" s="108" t="str">
        <f>IFERROR(INDEX($T$3:U$352, $X345, COLUMNS($Y$3:Y345)), "")</f>
        <v/>
      </c>
      <c r="Z345" s="108" t="str">
        <f>IFERROR(INDEX($T$3:V$352, $X345, COLUMNS($Y$3:Z345)), "")</f>
        <v/>
      </c>
    </row>
    <row r="346" spans="11:26" x14ac:dyDescent="0.25">
      <c r="K346" s="104"/>
      <c r="L346" s="104"/>
      <c r="M346" s="104"/>
      <c r="N346" s="104">
        <v>344</v>
      </c>
      <c r="O346" s="104" t="str">
        <f t="shared" si="24"/>
        <v/>
      </c>
      <c r="P346" s="104" t="str">
        <f t="shared" si="21"/>
        <v/>
      </c>
      <c r="Q346" s="104" t="str">
        <f>IFERROR(INDEX($M$3:M$350, $P346, COLUMNS($Q$3:Q693)),"")</f>
        <v/>
      </c>
      <c r="R346" s="104"/>
      <c r="V346">
        <v>344</v>
      </c>
      <c r="W346" t="str">
        <f t="shared" si="22"/>
        <v/>
      </c>
      <c r="X346" t="str">
        <f t="shared" si="23"/>
        <v/>
      </c>
      <c r="Y346" s="108" t="str">
        <f>IFERROR(INDEX($T$3:U$352, $X346, COLUMNS($Y$3:Y346)), "")</f>
        <v/>
      </c>
      <c r="Z346" s="108" t="str">
        <f>IFERROR(INDEX($T$3:V$352, $X346, COLUMNS($Y$3:Z346)), "")</f>
        <v/>
      </c>
    </row>
    <row r="347" spans="11:26" x14ac:dyDescent="0.25">
      <c r="K347" s="104"/>
      <c r="L347" s="104"/>
      <c r="M347" s="104"/>
      <c r="N347" s="104">
        <v>345</v>
      </c>
      <c r="O347" s="104" t="str">
        <f t="shared" si="24"/>
        <v/>
      </c>
      <c r="P347" s="104" t="str">
        <f t="shared" si="21"/>
        <v/>
      </c>
      <c r="Q347" s="104" t="str">
        <f>IFERROR(INDEX($M$3:M$350, $P347, COLUMNS($Q$3:Q694)),"")</f>
        <v/>
      </c>
      <c r="R347" s="104"/>
      <c r="V347">
        <v>345</v>
      </c>
      <c r="W347" t="str">
        <f t="shared" si="22"/>
        <v/>
      </c>
      <c r="X347" t="str">
        <f t="shared" si="23"/>
        <v/>
      </c>
      <c r="Y347" s="108" t="str">
        <f>IFERROR(INDEX($T$3:U$352, $X347, COLUMNS($Y$3:Y347)), "")</f>
        <v/>
      </c>
      <c r="Z347" s="108" t="str">
        <f>IFERROR(INDEX($T$3:V$352, $X347, COLUMNS($Y$3:Z347)), "")</f>
        <v/>
      </c>
    </row>
    <row r="348" spans="11:26" x14ac:dyDescent="0.25">
      <c r="K348" s="104"/>
      <c r="L348" s="104"/>
      <c r="M348" s="104"/>
      <c r="N348" s="104">
        <v>346</v>
      </c>
      <c r="O348" s="104" t="str">
        <f t="shared" si="24"/>
        <v/>
      </c>
      <c r="P348" s="104" t="str">
        <f t="shared" si="21"/>
        <v/>
      </c>
      <c r="Q348" s="104" t="str">
        <f>IFERROR(INDEX($M$3:M$350, $P348, COLUMNS($Q$3:Q695)),"")</f>
        <v/>
      </c>
      <c r="R348" s="104"/>
      <c r="V348">
        <v>346</v>
      </c>
      <c r="W348" t="str">
        <f t="shared" si="22"/>
        <v/>
      </c>
      <c r="X348" t="str">
        <f t="shared" si="23"/>
        <v/>
      </c>
      <c r="Y348" s="108" t="str">
        <f>IFERROR(INDEX($T$3:U$352, $X348, COLUMNS($Y$3:Y348)), "")</f>
        <v/>
      </c>
      <c r="Z348" s="108" t="str">
        <f>IFERROR(INDEX($T$3:V$352, $X348, COLUMNS($Y$3:Z348)), "")</f>
        <v/>
      </c>
    </row>
    <row r="349" spans="11:26" x14ac:dyDescent="0.25">
      <c r="K349" s="104"/>
      <c r="L349" s="104"/>
      <c r="M349" s="104"/>
      <c r="N349" s="104">
        <v>347</v>
      </c>
      <c r="O349" s="104" t="str">
        <f t="shared" si="24"/>
        <v/>
      </c>
      <c r="P349" s="104" t="str">
        <f t="shared" si="21"/>
        <v/>
      </c>
      <c r="Q349" s="104" t="str">
        <f>IFERROR(INDEX($M$3:M$350, $P349, COLUMNS($Q$3:Q696)),"")</f>
        <v/>
      </c>
      <c r="R349" s="104"/>
      <c r="V349">
        <v>347</v>
      </c>
      <c r="W349" t="str">
        <f t="shared" si="22"/>
        <v/>
      </c>
      <c r="X349" t="str">
        <f t="shared" si="23"/>
        <v/>
      </c>
      <c r="Y349" s="108" t="str">
        <f>IFERROR(INDEX($T$3:U$352, $X349, COLUMNS($Y$3:Y349)), "")</f>
        <v/>
      </c>
      <c r="Z349" s="108" t="str">
        <f>IFERROR(INDEX($T$3:V$352, $X349, COLUMNS($Y$3:Z349)), "")</f>
        <v/>
      </c>
    </row>
    <row r="350" spans="11:26" x14ac:dyDescent="0.25">
      <c r="K350" s="104"/>
      <c r="L350" s="104"/>
      <c r="M350" s="104"/>
      <c r="N350" s="104">
        <v>348</v>
      </c>
      <c r="O350" s="104" t="str">
        <f t="shared" si="24"/>
        <v/>
      </c>
      <c r="P350" s="104" t="str">
        <f t="shared" si="21"/>
        <v/>
      </c>
      <c r="Q350" s="104" t="str">
        <f>IFERROR(INDEX($M$3:M$350, $P350, COLUMNS($Q$3:Q697)),"")</f>
        <v/>
      </c>
      <c r="R350" s="104"/>
      <c r="V350">
        <v>348</v>
      </c>
      <c r="W350" t="str">
        <f t="shared" si="22"/>
        <v/>
      </c>
      <c r="X350" t="str">
        <f t="shared" si="23"/>
        <v/>
      </c>
      <c r="Y350" s="108" t="str">
        <f>IFERROR(INDEX($T$3:U$352, $X350, COLUMNS($Y$3:Y350)), "")</f>
        <v/>
      </c>
      <c r="Z350" s="108" t="str">
        <f>IFERROR(INDEX($T$3:V$352, $X350, COLUMNS($Y$3:Z350)), "")</f>
        <v/>
      </c>
    </row>
    <row r="351" spans="11:26" x14ac:dyDescent="0.25">
      <c r="K351" s="104"/>
      <c r="L351" s="104"/>
      <c r="M351" s="104"/>
      <c r="N351" s="104">
        <v>349</v>
      </c>
      <c r="O351" s="104" t="str">
        <f t="shared" si="24"/>
        <v/>
      </c>
      <c r="P351" s="104" t="str">
        <f t="shared" si="21"/>
        <v/>
      </c>
      <c r="Q351" s="104" t="str">
        <f>IFERROR(INDEX($M$3:M$350, $P351, COLUMNS($Q$3:Q698)),"")</f>
        <v/>
      </c>
      <c r="R351" s="104"/>
      <c r="V351">
        <v>349</v>
      </c>
      <c r="W351" t="str">
        <f t="shared" si="22"/>
        <v/>
      </c>
      <c r="X351" t="str">
        <f t="shared" si="23"/>
        <v/>
      </c>
      <c r="Y351" s="108" t="str">
        <f>IFERROR(INDEX($T$3:U$352, $X351, COLUMNS($Y$3:Y351)), "")</f>
        <v/>
      </c>
      <c r="Z351" s="108" t="str">
        <f>IFERROR(INDEX($T$3:V$352, $X351, COLUMNS($Y$3:Z351)), "")</f>
        <v/>
      </c>
    </row>
    <row r="352" spans="11:26" x14ac:dyDescent="0.25">
      <c r="K352" s="104"/>
      <c r="L352" s="104"/>
      <c r="M352" s="104"/>
      <c r="N352" s="104">
        <v>350</v>
      </c>
      <c r="O352" s="104" t="str">
        <f t="shared" si="24"/>
        <v/>
      </c>
      <c r="P352" s="104" t="str">
        <f t="shared" si="21"/>
        <v/>
      </c>
      <c r="Q352" s="104" t="str">
        <f>IFERROR(INDEX($M$3:M$350, $P352, COLUMNS($Q$3:Q699)),"")</f>
        <v/>
      </c>
      <c r="R352" s="104"/>
      <c r="V352">
        <v>350</v>
      </c>
      <c r="W352" t="str">
        <f t="shared" si="22"/>
        <v/>
      </c>
      <c r="X352" t="str">
        <f t="shared" si="23"/>
        <v/>
      </c>
      <c r="Y352" s="108" t="str">
        <f>IFERROR(INDEX($T$3:U$352, $X352, COLUMNS($Y$3:Y352)), "")</f>
        <v/>
      </c>
      <c r="Z352" s="108" t="str">
        <f>IFERROR(INDEX($T$3:V$352, $X352, COLUMNS($Y$3:Z352)), "")</f>
        <v/>
      </c>
    </row>
  </sheetData>
  <sortState ref="L2:M164">
    <sortCondition ref="L2:L164"/>
    <sortCondition ref="M2:M164"/>
  </sortState>
  <mergeCells count="2">
    <mergeCell ref="C1:H1"/>
    <mergeCell ref="K1:Q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172"/>
  <sheetViews>
    <sheetView topLeftCell="A133" workbookViewId="0">
      <selection activeCell="D23" sqref="D23:J23"/>
    </sheetView>
  </sheetViews>
  <sheetFormatPr defaultRowHeight="15" x14ac:dyDescent="0.25"/>
  <cols>
    <col min="1" max="1" width="17" bestFit="1" customWidth="1"/>
    <col min="2" max="2" width="34.140625" bestFit="1" customWidth="1"/>
  </cols>
  <sheetData>
    <row r="1" spans="1:26" x14ac:dyDescent="0.25">
      <c r="A1" t="s">
        <v>17</v>
      </c>
      <c r="B1">
        <f>'Characteristics FY2014'!D23</f>
        <v>0</v>
      </c>
      <c r="C1" t="b">
        <f>A1=B1</f>
        <v>0</v>
      </c>
    </row>
    <row r="2" spans="1:26" x14ac:dyDescent="0.25">
      <c r="A2" t="s">
        <v>18</v>
      </c>
      <c r="B2">
        <f>'Characteristics FY2014'!D25</f>
        <v>0</v>
      </c>
      <c r="C2" t="b">
        <f t="shared" ref="C2:C80" si="0">A2=B2</f>
        <v>0</v>
      </c>
    </row>
    <row r="3" spans="1:26" x14ac:dyDescent="0.25">
      <c r="A3" t="s">
        <v>19</v>
      </c>
      <c r="B3">
        <f>'Characteristics FY2014'!D29</f>
        <v>0</v>
      </c>
      <c r="C3" t="b">
        <f t="shared" si="0"/>
        <v>0</v>
      </c>
      <c r="Z3" t="e">
        <v>#N/A</v>
      </c>
    </row>
    <row r="4" spans="1:26" x14ac:dyDescent="0.25">
      <c r="A4" t="s">
        <v>20</v>
      </c>
      <c r="B4">
        <f>'Characteristics FY2014'!D31</f>
        <v>0</v>
      </c>
      <c r="C4" t="b">
        <f t="shared" si="0"/>
        <v>0</v>
      </c>
    </row>
    <row r="5" spans="1:26" x14ac:dyDescent="0.25">
      <c r="A5" t="s">
        <v>21</v>
      </c>
      <c r="B5">
        <f>'Characteristics FY2014'!D33</f>
        <v>0</v>
      </c>
      <c r="C5" t="b">
        <f t="shared" si="0"/>
        <v>0</v>
      </c>
    </row>
    <row r="6" spans="1:26" x14ac:dyDescent="0.25">
      <c r="A6" t="s">
        <v>22</v>
      </c>
      <c r="B6" s="91" t="e">
        <f>DATE(F6,VLOOKUP(D6, 'Drop Downs'!C2:D14, 2, FALSE),E6)</f>
        <v>#VALUE!</v>
      </c>
      <c r="C6" t="e">
        <f t="shared" si="0"/>
        <v>#VALUE!</v>
      </c>
      <c r="D6" t="s">
        <v>235</v>
      </c>
      <c r="E6" t="s">
        <v>235</v>
      </c>
      <c r="F6" t="s">
        <v>235</v>
      </c>
      <c r="G6" s="92"/>
    </row>
    <row r="7" spans="1:26" x14ac:dyDescent="0.25">
      <c r="A7" t="s">
        <v>23</v>
      </c>
      <c r="B7" s="91" t="e">
        <f>DATE(F7,VLOOKUP(D7, 'Drop Downs'!C3:D15, 2, FALSE),E7)</f>
        <v>#VALUE!</v>
      </c>
      <c r="C7" t="e">
        <f t="shared" si="0"/>
        <v>#VALUE!</v>
      </c>
      <c r="D7" t="s">
        <v>235</v>
      </c>
      <c r="E7" t="s">
        <v>235</v>
      </c>
      <c r="F7" t="s">
        <v>235</v>
      </c>
    </row>
    <row r="8" spans="1:26" x14ac:dyDescent="0.25">
      <c r="A8" t="s">
        <v>757</v>
      </c>
      <c r="B8" s="230">
        <f>'Characteristics FY2014'!C62</f>
        <v>0</v>
      </c>
    </row>
    <row r="9" spans="1:26" x14ac:dyDescent="0.25">
      <c r="A9" t="s">
        <v>24</v>
      </c>
      <c r="B9" t="s">
        <v>235</v>
      </c>
      <c r="C9" t="e">
        <f>IF(MATCH(B9,YNU,0), TRUE, FALSE)</f>
        <v>#N/A</v>
      </c>
    </row>
    <row r="10" spans="1:26" x14ac:dyDescent="0.25">
      <c r="A10" t="s">
        <v>233</v>
      </c>
      <c r="B10" t="s">
        <v>235</v>
      </c>
      <c r="C10" t="e">
        <f>IF(MATCH(B10,YNU,0), TRUE, FALSE)</f>
        <v>#N/A</v>
      </c>
    </row>
    <row r="11" spans="1:26" x14ac:dyDescent="0.25">
      <c r="A11" t="s">
        <v>234</v>
      </c>
      <c r="B11" t="s">
        <v>235</v>
      </c>
      <c r="C11" t="e">
        <f>IF(MATCH(B11,YNU,0), TRUE, FALSE)</f>
        <v>#N/A</v>
      </c>
    </row>
    <row r="12" spans="1:26" x14ac:dyDescent="0.25">
      <c r="A12" t="s">
        <v>236</v>
      </c>
      <c r="B12" t="s">
        <v>235</v>
      </c>
      <c r="C12" t="e">
        <f>IF(MATCH(B12,YNU,0), TRUE, FALSE)</f>
        <v>#N/A</v>
      </c>
    </row>
    <row r="13" spans="1:26" x14ac:dyDescent="0.25">
      <c r="A13" t="s">
        <v>237</v>
      </c>
      <c r="B13">
        <f>'Characteristics FY2014'!I87</f>
        <v>0</v>
      </c>
    </row>
    <row r="14" spans="1:26" x14ac:dyDescent="0.25">
      <c r="A14" t="s">
        <v>238</v>
      </c>
      <c r="B14">
        <f>'Characteristics FY2014'!I89</f>
        <v>0</v>
      </c>
    </row>
    <row r="15" spans="1:26" x14ac:dyDescent="0.25">
      <c r="A15" t="s">
        <v>239</v>
      </c>
      <c r="B15">
        <f>'Characteristics FY2014'!I91</f>
        <v>0</v>
      </c>
    </row>
    <row r="16" spans="1:26" x14ac:dyDescent="0.25">
      <c r="A16" t="s">
        <v>240</v>
      </c>
      <c r="B16">
        <f>'Characteristics FY2014'!I93</f>
        <v>0</v>
      </c>
      <c r="C16" t="b">
        <f>IF(SUM(B13:B15)=B16, TRUE, FALSE)</f>
        <v>1</v>
      </c>
    </row>
    <row r="17" spans="1:3" x14ac:dyDescent="0.25">
      <c r="A17" t="s">
        <v>241</v>
      </c>
      <c r="B17">
        <f>'Characteristics FY2014'!I97</f>
        <v>0</v>
      </c>
    </row>
    <row r="18" spans="1:3" x14ac:dyDescent="0.25">
      <c r="A18" t="s">
        <v>242</v>
      </c>
      <c r="B18">
        <f>'Characteristics FY2014'!I99</f>
        <v>0</v>
      </c>
    </row>
    <row r="19" spans="1:3" x14ac:dyDescent="0.25">
      <c r="A19" t="s">
        <v>25</v>
      </c>
      <c r="B19">
        <f>'Characteristics FY2014'!I105</f>
        <v>0</v>
      </c>
      <c r="C19" t="b">
        <f t="shared" si="0"/>
        <v>0</v>
      </c>
    </row>
    <row r="20" spans="1:3" x14ac:dyDescent="0.25">
      <c r="A20" t="s">
        <v>26</v>
      </c>
      <c r="B20">
        <f>'Characteristics FY2014'!F110</f>
        <v>0</v>
      </c>
      <c r="C20" t="b">
        <f t="shared" si="0"/>
        <v>0</v>
      </c>
    </row>
    <row r="21" spans="1:3" x14ac:dyDescent="0.25">
      <c r="A21" t="s">
        <v>27</v>
      </c>
      <c r="B21">
        <f>'Characteristics FY2014'!I110</f>
        <v>0</v>
      </c>
      <c r="C21" t="b">
        <f t="shared" si="0"/>
        <v>0</v>
      </c>
    </row>
    <row r="22" spans="1:3" x14ac:dyDescent="0.25">
      <c r="A22" t="s">
        <v>144</v>
      </c>
      <c r="B22">
        <f>'Characteristics FY2014'!F112</f>
        <v>0</v>
      </c>
      <c r="C22" t="b">
        <f t="shared" si="0"/>
        <v>0</v>
      </c>
    </row>
    <row r="23" spans="1:3" x14ac:dyDescent="0.25">
      <c r="A23" t="s">
        <v>145</v>
      </c>
      <c r="B23">
        <f>'Characteristics FY2014'!I112</f>
        <v>0</v>
      </c>
      <c r="C23" t="b">
        <f t="shared" si="0"/>
        <v>0</v>
      </c>
    </row>
    <row r="24" spans="1:3" x14ac:dyDescent="0.25">
      <c r="A24" t="s">
        <v>28</v>
      </c>
      <c r="B24">
        <f>'Characteristics FY2014'!F114</f>
        <v>0</v>
      </c>
      <c r="C24" t="b">
        <f t="shared" si="0"/>
        <v>0</v>
      </c>
    </row>
    <row r="25" spans="1:3" x14ac:dyDescent="0.25">
      <c r="A25" t="s">
        <v>29</v>
      </c>
      <c r="B25">
        <f>'Characteristics FY2014'!I114</f>
        <v>0</v>
      </c>
      <c r="C25" t="b">
        <f t="shared" si="0"/>
        <v>0</v>
      </c>
    </row>
    <row r="26" spans="1:3" x14ac:dyDescent="0.25">
      <c r="A26" t="s">
        <v>30</v>
      </c>
      <c r="B26">
        <f>'Characteristics FY2014'!F116</f>
        <v>0</v>
      </c>
      <c r="C26" t="b">
        <f t="shared" si="0"/>
        <v>0</v>
      </c>
    </row>
    <row r="27" spans="1:3" x14ac:dyDescent="0.25">
      <c r="A27" t="s">
        <v>31</v>
      </c>
      <c r="B27">
        <f>'Characteristics FY2014'!I116</f>
        <v>0</v>
      </c>
      <c r="C27" t="b">
        <f t="shared" si="0"/>
        <v>0</v>
      </c>
    </row>
    <row r="28" spans="1:3" x14ac:dyDescent="0.25">
      <c r="A28" t="s">
        <v>32</v>
      </c>
      <c r="B28">
        <f>'Characteristics FY2014'!F118</f>
        <v>0</v>
      </c>
      <c r="C28" t="b">
        <f t="shared" si="0"/>
        <v>0</v>
      </c>
    </row>
    <row r="29" spans="1:3" x14ac:dyDescent="0.25">
      <c r="A29" t="s">
        <v>33</v>
      </c>
      <c r="B29">
        <f>'Characteristics FY2014'!I118</f>
        <v>0</v>
      </c>
      <c r="C29" t="b">
        <f t="shared" si="0"/>
        <v>0</v>
      </c>
    </row>
    <row r="30" spans="1:3" x14ac:dyDescent="0.25">
      <c r="A30" t="s">
        <v>34</v>
      </c>
      <c r="B30">
        <f>'Characteristics FY2014'!F120</f>
        <v>0</v>
      </c>
      <c r="C30" t="b">
        <f t="shared" si="0"/>
        <v>0</v>
      </c>
    </row>
    <row r="31" spans="1:3" x14ac:dyDescent="0.25">
      <c r="A31" t="s">
        <v>35</v>
      </c>
      <c r="B31">
        <f>'Characteristics FY2014'!I120</f>
        <v>0</v>
      </c>
      <c r="C31" t="b">
        <f t="shared" si="0"/>
        <v>0</v>
      </c>
    </row>
    <row r="32" spans="1:3" x14ac:dyDescent="0.25">
      <c r="A32" t="s">
        <v>36</v>
      </c>
      <c r="B32">
        <f>'Characteristics FY2014'!F122</f>
        <v>0</v>
      </c>
      <c r="C32" t="b">
        <f t="shared" si="0"/>
        <v>0</v>
      </c>
    </row>
    <row r="33" spans="1:3" x14ac:dyDescent="0.25">
      <c r="A33" t="s">
        <v>37</v>
      </c>
      <c r="B33">
        <f>'Characteristics FY2014'!I122</f>
        <v>0</v>
      </c>
      <c r="C33" t="b">
        <f t="shared" si="0"/>
        <v>0</v>
      </c>
    </row>
    <row r="34" spans="1:3" x14ac:dyDescent="0.25">
      <c r="A34" t="s">
        <v>243</v>
      </c>
      <c r="B34">
        <f>'Characteristics FY2014'!F124</f>
        <v>0</v>
      </c>
    </row>
    <row r="35" spans="1:3" x14ac:dyDescent="0.25">
      <c r="A35" t="s">
        <v>244</v>
      </c>
      <c r="B35">
        <f>'Characteristics FY2014'!I124</f>
        <v>0</v>
      </c>
    </row>
    <row r="36" spans="1:3" x14ac:dyDescent="0.25">
      <c r="A36" t="s">
        <v>245</v>
      </c>
      <c r="B36">
        <f>'Characteristics FY2014'!F126</f>
        <v>0</v>
      </c>
    </row>
    <row r="37" spans="1:3" x14ac:dyDescent="0.25">
      <c r="A37" t="s">
        <v>38</v>
      </c>
      <c r="B37">
        <f>'Characteristics FY2014'!F133</f>
        <v>0</v>
      </c>
      <c r="C37" t="b">
        <f t="shared" si="0"/>
        <v>0</v>
      </c>
    </row>
    <row r="38" spans="1:3" x14ac:dyDescent="0.25">
      <c r="A38" t="s">
        <v>39</v>
      </c>
      <c r="B38">
        <f>'Characteristics FY2014'!H133</f>
        <v>0</v>
      </c>
      <c r="C38" t="b">
        <f t="shared" si="0"/>
        <v>0</v>
      </c>
    </row>
    <row r="39" spans="1:3" x14ac:dyDescent="0.25">
      <c r="A39" t="s">
        <v>40</v>
      </c>
      <c r="B39">
        <f>'Characteristics FY2014'!J133</f>
        <v>0</v>
      </c>
      <c r="C39" t="b">
        <f t="shared" si="0"/>
        <v>0</v>
      </c>
    </row>
    <row r="40" spans="1:3" x14ac:dyDescent="0.25">
      <c r="A40" t="s">
        <v>41</v>
      </c>
      <c r="B40">
        <f>'Characteristics FY2014'!F135</f>
        <v>0</v>
      </c>
      <c r="C40" t="b">
        <f t="shared" si="0"/>
        <v>0</v>
      </c>
    </row>
    <row r="41" spans="1:3" x14ac:dyDescent="0.25">
      <c r="A41" t="s">
        <v>42</v>
      </c>
      <c r="B41">
        <f>'Characteristics FY2014'!H135</f>
        <v>0</v>
      </c>
      <c r="C41" t="b">
        <f t="shared" si="0"/>
        <v>0</v>
      </c>
    </row>
    <row r="42" spans="1:3" x14ac:dyDescent="0.25">
      <c r="A42" t="s">
        <v>43</v>
      </c>
      <c r="B42">
        <f>'Characteristics FY2014'!J135</f>
        <v>0</v>
      </c>
      <c r="C42" t="b">
        <f t="shared" si="0"/>
        <v>0</v>
      </c>
    </row>
    <row r="43" spans="1:3" x14ac:dyDescent="0.25">
      <c r="A43" t="s">
        <v>44</v>
      </c>
      <c r="B43">
        <f>'Characteristics FY2014'!F137</f>
        <v>0</v>
      </c>
      <c r="C43" t="b">
        <f t="shared" si="0"/>
        <v>0</v>
      </c>
    </row>
    <row r="44" spans="1:3" x14ac:dyDescent="0.25">
      <c r="A44" t="s">
        <v>45</v>
      </c>
      <c r="B44">
        <f>'Characteristics FY2014'!H137</f>
        <v>0</v>
      </c>
      <c r="C44" t="b">
        <f t="shared" si="0"/>
        <v>0</v>
      </c>
    </row>
    <row r="45" spans="1:3" x14ac:dyDescent="0.25">
      <c r="A45" t="s">
        <v>46</v>
      </c>
      <c r="B45">
        <f>'Characteristics FY2014'!J137</f>
        <v>0</v>
      </c>
      <c r="C45" t="b">
        <f t="shared" si="0"/>
        <v>0</v>
      </c>
    </row>
    <row r="46" spans="1:3" x14ac:dyDescent="0.25">
      <c r="A46" t="s">
        <v>47</v>
      </c>
      <c r="B46">
        <f>'Characteristics FY2014'!F139</f>
        <v>0</v>
      </c>
      <c r="C46" t="b">
        <f t="shared" si="0"/>
        <v>0</v>
      </c>
    </row>
    <row r="47" spans="1:3" x14ac:dyDescent="0.25">
      <c r="A47" t="s">
        <v>48</v>
      </c>
      <c r="B47">
        <f>'Characteristics FY2014'!H139</f>
        <v>0</v>
      </c>
      <c r="C47" t="b">
        <f t="shared" si="0"/>
        <v>0</v>
      </c>
    </row>
    <row r="48" spans="1:3" x14ac:dyDescent="0.25">
      <c r="A48" t="s">
        <v>49</v>
      </c>
      <c r="B48">
        <f>'Characteristics FY2014'!J139</f>
        <v>0</v>
      </c>
      <c r="C48" t="b">
        <f t="shared" si="0"/>
        <v>0</v>
      </c>
    </row>
    <row r="49" spans="1:3" x14ac:dyDescent="0.25">
      <c r="A49" t="s">
        <v>50</v>
      </c>
      <c r="B49">
        <f>'Characteristics FY2014'!F141</f>
        <v>0</v>
      </c>
      <c r="C49" t="b">
        <f t="shared" si="0"/>
        <v>0</v>
      </c>
    </row>
    <row r="50" spans="1:3" x14ac:dyDescent="0.25">
      <c r="A50" t="s">
        <v>51</v>
      </c>
      <c r="B50">
        <f>'Characteristics FY2014'!H141</f>
        <v>0</v>
      </c>
      <c r="C50" t="b">
        <f t="shared" si="0"/>
        <v>0</v>
      </c>
    </row>
    <row r="51" spans="1:3" x14ac:dyDescent="0.25">
      <c r="A51" t="s">
        <v>52</v>
      </c>
      <c r="B51">
        <f>'Characteristics FY2014'!J141</f>
        <v>0</v>
      </c>
      <c r="C51" t="b">
        <f t="shared" si="0"/>
        <v>0</v>
      </c>
    </row>
    <row r="52" spans="1:3" x14ac:dyDescent="0.25">
      <c r="A52" t="s">
        <v>53</v>
      </c>
      <c r="B52">
        <f>'Characteristics FY2014'!F143</f>
        <v>0</v>
      </c>
      <c r="C52" t="b">
        <f t="shared" si="0"/>
        <v>0</v>
      </c>
    </row>
    <row r="53" spans="1:3" x14ac:dyDescent="0.25">
      <c r="A53" t="s">
        <v>54</v>
      </c>
      <c r="B53">
        <f>'Characteristics FY2014'!H143</f>
        <v>0</v>
      </c>
      <c r="C53" t="b">
        <f t="shared" si="0"/>
        <v>0</v>
      </c>
    </row>
    <row r="54" spans="1:3" x14ac:dyDescent="0.25">
      <c r="A54" t="s">
        <v>55</v>
      </c>
      <c r="B54">
        <f>'Characteristics FY2014'!J143</f>
        <v>0</v>
      </c>
      <c r="C54" t="b">
        <f t="shared" si="0"/>
        <v>0</v>
      </c>
    </row>
    <row r="55" spans="1:3" x14ac:dyDescent="0.25">
      <c r="A55" t="s">
        <v>56</v>
      </c>
      <c r="B55">
        <f>'Characteristics FY2014'!F145</f>
        <v>0</v>
      </c>
      <c r="C55" t="b">
        <f t="shared" si="0"/>
        <v>0</v>
      </c>
    </row>
    <row r="56" spans="1:3" x14ac:dyDescent="0.25">
      <c r="A56" t="s">
        <v>57</v>
      </c>
      <c r="B56">
        <f>'Characteristics FY2014'!H145</f>
        <v>0</v>
      </c>
      <c r="C56" t="b">
        <f t="shared" si="0"/>
        <v>0</v>
      </c>
    </row>
    <row r="57" spans="1:3" x14ac:dyDescent="0.25">
      <c r="A57" t="s">
        <v>58</v>
      </c>
      <c r="B57">
        <f>'Characteristics FY2014'!J145</f>
        <v>0</v>
      </c>
      <c r="C57" t="b">
        <f t="shared" si="0"/>
        <v>0</v>
      </c>
    </row>
    <row r="58" spans="1:3" x14ac:dyDescent="0.25">
      <c r="A58" t="s">
        <v>59</v>
      </c>
      <c r="B58">
        <f>'Characteristics FY2014'!F147</f>
        <v>0</v>
      </c>
      <c r="C58" t="b">
        <f t="shared" si="0"/>
        <v>0</v>
      </c>
    </row>
    <row r="59" spans="1:3" x14ac:dyDescent="0.25">
      <c r="A59" t="s">
        <v>60</v>
      </c>
      <c r="B59">
        <f>'Characteristics FY2014'!H147</f>
        <v>0</v>
      </c>
      <c r="C59" t="b">
        <f t="shared" si="0"/>
        <v>0</v>
      </c>
    </row>
    <row r="60" spans="1:3" x14ac:dyDescent="0.25">
      <c r="A60" t="s">
        <v>61</v>
      </c>
      <c r="B60">
        <f>'Characteristics FY2014'!J147</f>
        <v>0</v>
      </c>
      <c r="C60" t="b">
        <f t="shared" si="0"/>
        <v>0</v>
      </c>
    </row>
    <row r="61" spans="1:3" x14ac:dyDescent="0.25">
      <c r="A61" t="s">
        <v>62</v>
      </c>
      <c r="B61">
        <f>'Characteristics FY2014'!B151:J151</f>
        <v>0</v>
      </c>
      <c r="C61" t="b">
        <f t="shared" si="0"/>
        <v>0</v>
      </c>
    </row>
    <row r="62" spans="1:3" x14ac:dyDescent="0.25">
      <c r="A62" t="s">
        <v>147</v>
      </c>
      <c r="B62">
        <f>'Characteristics FY2014'!I158</f>
        <v>0</v>
      </c>
      <c r="C62" t="b">
        <f t="shared" si="0"/>
        <v>0</v>
      </c>
    </row>
    <row r="63" spans="1:3" x14ac:dyDescent="0.25">
      <c r="A63" t="s">
        <v>63</v>
      </c>
      <c r="B63">
        <f>'Characteristics FY2014'!I160</f>
        <v>0</v>
      </c>
      <c r="C63" t="b">
        <f t="shared" si="0"/>
        <v>0</v>
      </c>
    </row>
    <row r="64" spans="1:3" x14ac:dyDescent="0.25">
      <c r="A64" t="s">
        <v>64</v>
      </c>
      <c r="B64">
        <f>'Characteristics FY2014'!I162</f>
        <v>0</v>
      </c>
      <c r="C64" t="b">
        <f t="shared" si="0"/>
        <v>0</v>
      </c>
    </row>
    <row r="65" spans="1:3" x14ac:dyDescent="0.25">
      <c r="A65" t="s">
        <v>246</v>
      </c>
      <c r="B65">
        <f>'Characteristics FY2014'!I166</f>
        <v>0</v>
      </c>
    </row>
    <row r="66" spans="1:3" x14ac:dyDescent="0.25">
      <c r="A66" t="s">
        <v>247</v>
      </c>
      <c r="B66">
        <f>'Characteristics FY2014'!I168</f>
        <v>0</v>
      </c>
    </row>
    <row r="67" spans="1:3" x14ac:dyDescent="0.25">
      <c r="A67" t="s">
        <v>248</v>
      </c>
      <c r="B67">
        <f>'Characteristics FY2014'!I172</f>
        <v>0</v>
      </c>
    </row>
    <row r="68" spans="1:3" x14ac:dyDescent="0.25">
      <c r="A68" t="s">
        <v>249</v>
      </c>
      <c r="B68">
        <f>'Characteristics FY2014'!I174</f>
        <v>0</v>
      </c>
    </row>
    <row r="69" spans="1:3" x14ac:dyDescent="0.25">
      <c r="A69" t="s">
        <v>65</v>
      </c>
      <c r="B69">
        <f>'Characteristics FY2014'!I180</f>
        <v>0</v>
      </c>
      <c r="C69" t="b">
        <f t="shared" si="0"/>
        <v>0</v>
      </c>
    </row>
    <row r="70" spans="1:3" x14ac:dyDescent="0.25">
      <c r="A70" t="s">
        <v>66</v>
      </c>
      <c r="B70">
        <f>'Characteristics FY2014'!I182</f>
        <v>0</v>
      </c>
      <c r="C70" t="b">
        <f t="shared" si="0"/>
        <v>0</v>
      </c>
    </row>
    <row r="71" spans="1:3" x14ac:dyDescent="0.25">
      <c r="A71" t="s">
        <v>67</v>
      </c>
      <c r="B71">
        <f>'Characteristics FY2014'!I194</f>
        <v>0</v>
      </c>
      <c r="C71" t="b">
        <f t="shared" si="0"/>
        <v>0</v>
      </c>
    </row>
    <row r="72" spans="1:3" x14ac:dyDescent="0.25">
      <c r="A72" t="s">
        <v>68</v>
      </c>
      <c r="B72">
        <f>'Characteristics FY2014'!I196</f>
        <v>0</v>
      </c>
      <c r="C72" t="b">
        <f t="shared" si="0"/>
        <v>0</v>
      </c>
    </row>
    <row r="73" spans="1:3" x14ac:dyDescent="0.25">
      <c r="A73" t="s">
        <v>69</v>
      </c>
      <c r="B73">
        <f>'Characteristics FY2014'!I198</f>
        <v>0</v>
      </c>
      <c r="C73" t="b">
        <f t="shared" si="0"/>
        <v>0</v>
      </c>
    </row>
    <row r="74" spans="1:3" x14ac:dyDescent="0.25">
      <c r="A74" t="s">
        <v>70</v>
      </c>
      <c r="B74">
        <f>'Characteristics FY2014'!G212</f>
        <v>0</v>
      </c>
      <c r="C74" t="b">
        <f t="shared" si="0"/>
        <v>0</v>
      </c>
    </row>
    <row r="75" spans="1:3" x14ac:dyDescent="0.25">
      <c r="A75" t="s">
        <v>71</v>
      </c>
      <c r="B75">
        <f>'Characteristics FY2014'!G214</f>
        <v>0</v>
      </c>
      <c r="C75" t="b">
        <f t="shared" si="0"/>
        <v>0</v>
      </c>
    </row>
    <row r="76" spans="1:3" x14ac:dyDescent="0.25">
      <c r="A76" t="s">
        <v>72</v>
      </c>
      <c r="B76">
        <f>'Characteristics FY2014'!G216</f>
        <v>0</v>
      </c>
      <c r="C76" t="b">
        <f t="shared" si="0"/>
        <v>0</v>
      </c>
    </row>
    <row r="77" spans="1:3" x14ac:dyDescent="0.25">
      <c r="A77" t="s">
        <v>73</v>
      </c>
      <c r="B77">
        <f>'Characteristics FY2014'!G218</f>
        <v>0</v>
      </c>
      <c r="C77" t="b">
        <f t="shared" si="0"/>
        <v>0</v>
      </c>
    </row>
    <row r="78" spans="1:3" x14ac:dyDescent="0.25">
      <c r="A78" t="s">
        <v>74</v>
      </c>
      <c r="B78">
        <f>'Characteristics FY2014'!G220</f>
        <v>0</v>
      </c>
      <c r="C78" t="b">
        <f t="shared" si="0"/>
        <v>0</v>
      </c>
    </row>
    <row r="79" spans="1:3" x14ac:dyDescent="0.25">
      <c r="A79" t="s">
        <v>75</v>
      </c>
      <c r="B79">
        <f>'Characteristics FY2014'!G222</f>
        <v>0</v>
      </c>
      <c r="C79" t="b">
        <f t="shared" si="0"/>
        <v>0</v>
      </c>
    </row>
    <row r="80" spans="1:3" x14ac:dyDescent="0.25">
      <c r="A80" t="s">
        <v>76</v>
      </c>
      <c r="B80">
        <f>'Characteristics FY2014'!G224</f>
        <v>0</v>
      </c>
      <c r="C80" t="b">
        <f t="shared" si="0"/>
        <v>0</v>
      </c>
    </row>
    <row r="81" spans="1:3" x14ac:dyDescent="0.25">
      <c r="A81" t="s">
        <v>77</v>
      </c>
      <c r="B81">
        <f>'Characteristics FY2014'!G227</f>
        <v>0</v>
      </c>
      <c r="C81" t="b">
        <f t="shared" ref="C81:C155" si="1">A81=B81</f>
        <v>0</v>
      </c>
    </row>
    <row r="82" spans="1:3" x14ac:dyDescent="0.25">
      <c r="A82" t="s">
        <v>78</v>
      </c>
      <c r="B82">
        <f>'Characteristics FY2014'!G229</f>
        <v>0</v>
      </c>
      <c r="C82" t="b">
        <f t="shared" si="1"/>
        <v>0</v>
      </c>
    </row>
    <row r="83" spans="1:3" x14ac:dyDescent="0.25">
      <c r="A83" t="s">
        <v>79</v>
      </c>
      <c r="B83">
        <f>'Characteristics FY2014'!I246</f>
        <v>0</v>
      </c>
      <c r="C83" t="b">
        <f t="shared" si="1"/>
        <v>0</v>
      </c>
    </row>
    <row r="84" spans="1:3" x14ac:dyDescent="0.25">
      <c r="A84" t="s">
        <v>80</v>
      </c>
      <c r="B84">
        <f>'Characteristics FY2014'!I250</f>
        <v>0</v>
      </c>
      <c r="C84" t="b">
        <f t="shared" si="1"/>
        <v>0</v>
      </c>
    </row>
    <row r="85" spans="1:3" x14ac:dyDescent="0.25">
      <c r="A85" t="s">
        <v>81</v>
      </c>
      <c r="B85">
        <f>'Characteristics FY2014'!I252</f>
        <v>0</v>
      </c>
      <c r="C85" t="b">
        <f t="shared" si="1"/>
        <v>0</v>
      </c>
    </row>
    <row r="86" spans="1:3" x14ac:dyDescent="0.25">
      <c r="A86" t="s">
        <v>82</v>
      </c>
      <c r="B86" t="s">
        <v>235</v>
      </c>
      <c r="C86" t="b">
        <f t="shared" si="1"/>
        <v>0</v>
      </c>
    </row>
    <row r="87" spans="1:3" x14ac:dyDescent="0.25">
      <c r="A87" t="s">
        <v>83</v>
      </c>
      <c r="B87">
        <f>'Characteristics FY2014'!I258</f>
        <v>0</v>
      </c>
      <c r="C87" t="b">
        <f t="shared" si="1"/>
        <v>0</v>
      </c>
    </row>
    <row r="88" spans="1:3" x14ac:dyDescent="0.25">
      <c r="A88" t="s">
        <v>84</v>
      </c>
      <c r="B88">
        <f>'Characteristics FY2014'!I260</f>
        <v>0</v>
      </c>
      <c r="C88" t="b">
        <f t="shared" si="1"/>
        <v>0</v>
      </c>
    </row>
    <row r="89" spans="1:3" x14ac:dyDescent="0.25">
      <c r="A89" t="s">
        <v>149</v>
      </c>
      <c r="B89">
        <f>'Characteristics FY2014'!I262</f>
        <v>0</v>
      </c>
      <c r="C89" t="b">
        <f t="shared" si="1"/>
        <v>0</v>
      </c>
    </row>
    <row r="90" spans="1:3" x14ac:dyDescent="0.25">
      <c r="A90" t="s">
        <v>85</v>
      </c>
      <c r="B90" t="str">
        <f>'Characteristics FY2014'!I267</f>
        <v>RECDSH_0</v>
      </c>
      <c r="C90" t="b">
        <f t="shared" si="1"/>
        <v>1</v>
      </c>
    </row>
    <row r="91" spans="1:3" x14ac:dyDescent="0.25">
      <c r="A91" t="s">
        <v>86</v>
      </c>
      <c r="B91">
        <f>'Characteristics FY2014'!I271</f>
        <v>0</v>
      </c>
      <c r="C91" t="b">
        <f t="shared" si="1"/>
        <v>0</v>
      </c>
    </row>
    <row r="92" spans="1:3" x14ac:dyDescent="0.25">
      <c r="A92" t="s">
        <v>87</v>
      </c>
      <c r="B92">
        <f>'Characteristics FY2014'!I273</f>
        <v>0</v>
      </c>
      <c r="C92" t="b">
        <f t="shared" si="1"/>
        <v>0</v>
      </c>
    </row>
    <row r="93" spans="1:3" x14ac:dyDescent="0.25">
      <c r="A93" t="s">
        <v>88</v>
      </c>
      <c r="B93">
        <f>'Characteristics FY2014'!I275</f>
        <v>0</v>
      </c>
      <c r="C93" t="b">
        <f t="shared" si="1"/>
        <v>0</v>
      </c>
    </row>
    <row r="94" spans="1:3" x14ac:dyDescent="0.25">
      <c r="A94" t="s">
        <v>89</v>
      </c>
      <c r="B94">
        <f>'Characteristics FY2014'!I277</f>
        <v>0</v>
      </c>
      <c r="C94" t="b">
        <f t="shared" si="1"/>
        <v>0</v>
      </c>
    </row>
    <row r="95" spans="1:3" x14ac:dyDescent="0.25">
      <c r="A95" t="s">
        <v>90</v>
      </c>
      <c r="B95">
        <f>'Characteristics FY2014'!I281</f>
        <v>0</v>
      </c>
      <c r="C95" t="b">
        <f t="shared" si="1"/>
        <v>0</v>
      </c>
    </row>
    <row r="96" spans="1:3" x14ac:dyDescent="0.25">
      <c r="A96" t="s">
        <v>91</v>
      </c>
      <c r="B96">
        <f>'Characteristics FY2014'!I283</f>
        <v>0</v>
      </c>
      <c r="C96" t="b">
        <f t="shared" si="1"/>
        <v>0</v>
      </c>
    </row>
    <row r="97" spans="1:3" x14ac:dyDescent="0.25">
      <c r="A97" t="s">
        <v>150</v>
      </c>
      <c r="B97">
        <f>'Characteristics FY2014'!I285</f>
        <v>0</v>
      </c>
      <c r="C97" t="b">
        <f t="shared" si="1"/>
        <v>0</v>
      </c>
    </row>
    <row r="98" spans="1:3" x14ac:dyDescent="0.25">
      <c r="A98" t="s">
        <v>92</v>
      </c>
      <c r="B98" t="str">
        <f>'Characteristics FY2014'!I291</f>
        <v>IHSA_0</v>
      </c>
      <c r="C98" t="b">
        <f t="shared" si="1"/>
        <v>1</v>
      </c>
    </row>
    <row r="99" spans="1:3" x14ac:dyDescent="0.25">
      <c r="A99" t="s">
        <v>93</v>
      </c>
      <c r="B99" t="str">
        <f>'Characteristics FY2014'!I293</f>
        <v>OHSA_0</v>
      </c>
      <c r="C99" t="b">
        <f t="shared" si="1"/>
        <v>1</v>
      </c>
    </row>
    <row r="100" spans="1:3" x14ac:dyDescent="0.25">
      <c r="A100" t="s">
        <v>94</v>
      </c>
      <c r="B100" t="str">
        <f>'Characteristics FY2014'!I295</f>
        <v>GMEA_0</v>
      </c>
      <c r="C100" t="b">
        <f t="shared" si="1"/>
        <v>1</v>
      </c>
    </row>
    <row r="101" spans="1:3" x14ac:dyDescent="0.25">
      <c r="A101" t="s">
        <v>151</v>
      </c>
      <c r="B101">
        <f>'Characteristics FY2014'!H297</f>
        <v>0</v>
      </c>
      <c r="C101" t="b">
        <f t="shared" si="1"/>
        <v>0</v>
      </c>
    </row>
    <row r="102" spans="1:3" x14ac:dyDescent="0.25">
      <c r="A102" t="s">
        <v>95</v>
      </c>
      <c r="B102">
        <f>'Characteristics FY2014'!J301</f>
        <v>0</v>
      </c>
      <c r="C102" t="b">
        <f t="shared" si="1"/>
        <v>0</v>
      </c>
    </row>
    <row r="103" spans="1:3" x14ac:dyDescent="0.25">
      <c r="A103" t="s">
        <v>96</v>
      </c>
      <c r="B103">
        <f>'Characteristics FY2014'!J303</f>
        <v>0</v>
      </c>
      <c r="C103" t="b">
        <f t="shared" si="1"/>
        <v>0</v>
      </c>
    </row>
    <row r="104" spans="1:3" x14ac:dyDescent="0.25">
      <c r="A104" t="s">
        <v>97</v>
      </c>
      <c r="B104">
        <f>'Characteristics FY2014'!J305</f>
        <v>0</v>
      </c>
      <c r="C104" t="b">
        <f t="shared" si="1"/>
        <v>0</v>
      </c>
    </row>
    <row r="105" spans="1:3" x14ac:dyDescent="0.25">
      <c r="A105" t="s">
        <v>98</v>
      </c>
      <c r="B105">
        <f>'Characteristics FY2014'!J307</f>
        <v>0</v>
      </c>
      <c r="C105" t="b">
        <f t="shared" si="1"/>
        <v>0</v>
      </c>
    </row>
    <row r="106" spans="1:3" x14ac:dyDescent="0.25">
      <c r="A106" t="s">
        <v>99</v>
      </c>
      <c r="B106" t="s">
        <v>235</v>
      </c>
      <c r="C106" t="b">
        <f t="shared" si="1"/>
        <v>0</v>
      </c>
    </row>
    <row r="107" spans="1:3" x14ac:dyDescent="0.25">
      <c r="A107" t="s">
        <v>100</v>
      </c>
      <c r="B107">
        <f>'Characteristics FY2014'!I313</f>
        <v>0</v>
      </c>
      <c r="C107" t="b">
        <f t="shared" si="1"/>
        <v>0</v>
      </c>
    </row>
    <row r="108" spans="1:3" x14ac:dyDescent="0.25">
      <c r="A108" t="s">
        <v>101</v>
      </c>
      <c r="B108">
        <f>'Characteristics FY2014'!I315</f>
        <v>0</v>
      </c>
      <c r="C108" t="b">
        <f t="shared" si="1"/>
        <v>0</v>
      </c>
    </row>
    <row r="109" spans="1:3" x14ac:dyDescent="0.25">
      <c r="A109" t="s">
        <v>152</v>
      </c>
      <c r="B109">
        <f>'Characteristics FY2014'!I317</f>
        <v>0</v>
      </c>
      <c r="C109" t="b">
        <f t="shared" si="1"/>
        <v>0</v>
      </c>
    </row>
    <row r="110" spans="1:3" x14ac:dyDescent="0.25">
      <c r="A110" s="5" t="s">
        <v>102</v>
      </c>
      <c r="B110">
        <f>'Characteristics FY2014'!I321</f>
        <v>0</v>
      </c>
      <c r="C110" t="b">
        <f t="shared" si="1"/>
        <v>0</v>
      </c>
    </row>
    <row r="111" spans="1:3" x14ac:dyDescent="0.25">
      <c r="A111" t="s">
        <v>103</v>
      </c>
      <c r="B111">
        <f>'Characteristics FY2014'!I323</f>
        <v>0</v>
      </c>
      <c r="C111" t="b">
        <f t="shared" si="1"/>
        <v>0</v>
      </c>
    </row>
    <row r="112" spans="1:3" x14ac:dyDescent="0.25">
      <c r="A112" t="s">
        <v>104</v>
      </c>
      <c r="B112">
        <f>'Characteristics FY2014'!I325</f>
        <v>0</v>
      </c>
      <c r="C112" t="b">
        <f t="shared" si="1"/>
        <v>0</v>
      </c>
    </row>
    <row r="113" spans="1:3" x14ac:dyDescent="0.25">
      <c r="A113" t="s">
        <v>105</v>
      </c>
      <c r="B113">
        <f>'Characteristics FY2014'!I327</f>
        <v>0</v>
      </c>
      <c r="C113" t="b">
        <f t="shared" si="1"/>
        <v>0</v>
      </c>
    </row>
    <row r="114" spans="1:3" x14ac:dyDescent="0.25">
      <c r="A114" t="s">
        <v>106</v>
      </c>
      <c r="B114">
        <f>'Characteristics FY2014'!I329</f>
        <v>0</v>
      </c>
      <c r="C114" t="b">
        <f t="shared" si="1"/>
        <v>0</v>
      </c>
    </row>
    <row r="115" spans="1:3" x14ac:dyDescent="0.25">
      <c r="A115" t="s">
        <v>107</v>
      </c>
      <c r="B115">
        <f>'Characteristics FY2014'!I333</f>
        <v>0</v>
      </c>
      <c r="C115" t="b">
        <f t="shared" si="1"/>
        <v>0</v>
      </c>
    </row>
    <row r="116" spans="1:3" x14ac:dyDescent="0.25">
      <c r="A116" t="s">
        <v>108</v>
      </c>
      <c r="B116">
        <f>'Characteristics FY2014'!I337</f>
        <v>0</v>
      </c>
      <c r="C116" t="b">
        <f t="shared" si="1"/>
        <v>0</v>
      </c>
    </row>
    <row r="117" spans="1:3" x14ac:dyDescent="0.25">
      <c r="A117" t="s">
        <v>109</v>
      </c>
      <c r="B117">
        <f>'Characteristics FY2014'!I339</f>
        <v>0</v>
      </c>
      <c r="C117" t="b">
        <f t="shared" si="1"/>
        <v>0</v>
      </c>
    </row>
    <row r="118" spans="1:3" x14ac:dyDescent="0.25">
      <c r="A118" t="s">
        <v>250</v>
      </c>
      <c r="B118">
        <f>'Characteristics FY2014'!I341</f>
        <v>0</v>
      </c>
    </row>
    <row r="119" spans="1:3" x14ac:dyDescent="0.25">
      <c r="A119" t="s">
        <v>110</v>
      </c>
      <c r="B119">
        <f>'Characteristics FY2014'!H343</f>
        <v>0</v>
      </c>
      <c r="C119" t="b">
        <f t="shared" si="1"/>
        <v>0</v>
      </c>
    </row>
    <row r="120" spans="1:3" x14ac:dyDescent="0.25">
      <c r="A120" t="s">
        <v>111</v>
      </c>
      <c r="B120">
        <f>'Characteristics FY2014'!F349</f>
        <v>0</v>
      </c>
      <c r="C120" t="b">
        <f t="shared" si="1"/>
        <v>0</v>
      </c>
    </row>
    <row r="121" spans="1:3" x14ac:dyDescent="0.25">
      <c r="A121" t="s">
        <v>112</v>
      </c>
      <c r="B121">
        <f>'Characteristics FY2014'!H349</f>
        <v>0</v>
      </c>
      <c r="C121" t="b">
        <f t="shared" si="1"/>
        <v>0</v>
      </c>
    </row>
    <row r="122" spans="1:3" x14ac:dyDescent="0.25">
      <c r="A122" t="s">
        <v>113</v>
      </c>
      <c r="B122">
        <f>'Characteristics FY2014'!J349</f>
        <v>0</v>
      </c>
      <c r="C122" t="b">
        <f t="shared" si="1"/>
        <v>0</v>
      </c>
    </row>
    <row r="123" spans="1:3" x14ac:dyDescent="0.25">
      <c r="A123" t="s">
        <v>114</v>
      </c>
      <c r="B123">
        <f>'Characteristics FY2014'!F351</f>
        <v>0</v>
      </c>
      <c r="C123" t="b">
        <f t="shared" si="1"/>
        <v>0</v>
      </c>
    </row>
    <row r="124" spans="1:3" x14ac:dyDescent="0.25">
      <c r="A124" t="s">
        <v>115</v>
      </c>
      <c r="B124">
        <f>'Characteristics FY2014'!H351</f>
        <v>0</v>
      </c>
      <c r="C124" t="b">
        <f t="shared" si="1"/>
        <v>0</v>
      </c>
    </row>
    <row r="125" spans="1:3" x14ac:dyDescent="0.25">
      <c r="A125" t="s">
        <v>116</v>
      </c>
      <c r="B125">
        <f>'Characteristics FY2014'!J351</f>
        <v>0</v>
      </c>
      <c r="C125" t="b">
        <f t="shared" si="1"/>
        <v>0</v>
      </c>
    </row>
    <row r="126" spans="1:3" x14ac:dyDescent="0.25">
      <c r="A126" t="s">
        <v>251</v>
      </c>
      <c r="B126">
        <f>'Characteristics FY2014'!F353</f>
        <v>0</v>
      </c>
      <c r="C126" t="b">
        <f>A126=B126</f>
        <v>0</v>
      </c>
    </row>
    <row r="127" spans="1:3" x14ac:dyDescent="0.25">
      <c r="A127" t="s">
        <v>252</v>
      </c>
      <c r="B127">
        <f>'Characteristics FY2014'!H353</f>
        <v>0</v>
      </c>
      <c r="C127" t="b">
        <f t="shared" ref="C127:C137" si="2">A127=B127</f>
        <v>0</v>
      </c>
    </row>
    <row r="128" spans="1:3" x14ac:dyDescent="0.25">
      <c r="A128" t="s">
        <v>253</v>
      </c>
      <c r="B128">
        <f>'Characteristics FY2014'!J353</f>
        <v>0</v>
      </c>
      <c r="C128" t="b">
        <f t="shared" si="2"/>
        <v>0</v>
      </c>
    </row>
    <row r="129" spans="1:3" x14ac:dyDescent="0.25">
      <c r="A129" t="s">
        <v>117</v>
      </c>
      <c r="B129">
        <f>'Characteristics FY2014'!F355</f>
        <v>0</v>
      </c>
      <c r="C129" t="b">
        <f t="shared" si="2"/>
        <v>0</v>
      </c>
    </row>
    <row r="130" spans="1:3" x14ac:dyDescent="0.25">
      <c r="A130" t="s">
        <v>118</v>
      </c>
      <c r="B130">
        <f>'Characteristics FY2014'!H355</f>
        <v>0</v>
      </c>
      <c r="C130" t="b">
        <f t="shared" si="2"/>
        <v>0</v>
      </c>
    </row>
    <row r="131" spans="1:3" x14ac:dyDescent="0.25">
      <c r="A131" t="s">
        <v>119</v>
      </c>
      <c r="B131">
        <f>'Characteristics FY2014'!J355</f>
        <v>0</v>
      </c>
      <c r="C131" t="b">
        <f t="shared" si="2"/>
        <v>0</v>
      </c>
    </row>
    <row r="132" spans="1:3" x14ac:dyDescent="0.25">
      <c r="A132" t="s">
        <v>254</v>
      </c>
      <c r="B132">
        <f>'Characteristics FY2014'!F357</f>
        <v>0</v>
      </c>
      <c r="C132" t="b">
        <f t="shared" si="2"/>
        <v>0</v>
      </c>
    </row>
    <row r="133" spans="1:3" x14ac:dyDescent="0.25">
      <c r="A133" t="s">
        <v>255</v>
      </c>
      <c r="B133">
        <f>'Characteristics FY2014'!H357</f>
        <v>0</v>
      </c>
      <c r="C133" t="b">
        <f t="shared" si="2"/>
        <v>0</v>
      </c>
    </row>
    <row r="134" spans="1:3" x14ac:dyDescent="0.25">
      <c r="A134" t="s">
        <v>256</v>
      </c>
      <c r="B134">
        <f>'Characteristics FY2014'!J357</f>
        <v>0</v>
      </c>
      <c r="C134" t="b">
        <f t="shared" si="2"/>
        <v>0</v>
      </c>
    </row>
    <row r="135" spans="1:3" x14ac:dyDescent="0.25">
      <c r="A135" t="s">
        <v>257</v>
      </c>
      <c r="B135">
        <f>'Characteristics FY2014'!F359</f>
        <v>0</v>
      </c>
      <c r="C135" t="b">
        <f t="shared" si="2"/>
        <v>0</v>
      </c>
    </row>
    <row r="136" spans="1:3" x14ac:dyDescent="0.25">
      <c r="A136" t="s">
        <v>258</v>
      </c>
      <c r="B136">
        <f>'Characteristics FY2014'!H359</f>
        <v>0</v>
      </c>
      <c r="C136" t="b">
        <f t="shared" si="2"/>
        <v>0</v>
      </c>
    </row>
    <row r="137" spans="1:3" x14ac:dyDescent="0.25">
      <c r="A137" t="s">
        <v>259</v>
      </c>
      <c r="B137">
        <f>'Characteristics FY2014'!J359</f>
        <v>0</v>
      </c>
      <c r="C137" t="b">
        <f t="shared" si="2"/>
        <v>0</v>
      </c>
    </row>
    <row r="138" spans="1:3" x14ac:dyDescent="0.25">
      <c r="A138" t="s">
        <v>260</v>
      </c>
      <c r="B138">
        <f>'Characteristics FY2014'!F361</f>
        <v>0</v>
      </c>
      <c r="C138" t="b">
        <f t="shared" si="1"/>
        <v>0</v>
      </c>
    </row>
    <row r="139" spans="1:3" x14ac:dyDescent="0.25">
      <c r="A139" t="s">
        <v>261</v>
      </c>
      <c r="B139">
        <f>'Characteristics FY2014'!H361</f>
        <v>0</v>
      </c>
      <c r="C139" t="b">
        <f t="shared" si="1"/>
        <v>0</v>
      </c>
    </row>
    <row r="140" spans="1:3" x14ac:dyDescent="0.25">
      <c r="A140" t="s">
        <v>262</v>
      </c>
      <c r="B140">
        <f>'Characteristics FY2014'!J361</f>
        <v>0</v>
      </c>
      <c r="C140" t="b">
        <f t="shared" si="1"/>
        <v>0</v>
      </c>
    </row>
    <row r="141" spans="1:3" x14ac:dyDescent="0.25">
      <c r="A141" t="s">
        <v>153</v>
      </c>
      <c r="B141">
        <f>'Characteristics FY2014'!F363</f>
        <v>0</v>
      </c>
      <c r="C141" t="b">
        <f t="shared" si="1"/>
        <v>0</v>
      </c>
    </row>
    <row r="142" spans="1:3" x14ac:dyDescent="0.25">
      <c r="A142" t="s">
        <v>120</v>
      </c>
      <c r="B142">
        <f>'Characteristics FY2014'!H363</f>
        <v>0</v>
      </c>
      <c r="C142" t="b">
        <f t="shared" si="1"/>
        <v>0</v>
      </c>
    </row>
    <row r="143" spans="1:3" x14ac:dyDescent="0.25">
      <c r="A143" t="s">
        <v>121</v>
      </c>
      <c r="B143">
        <f>'Characteristics FY2014'!J363</f>
        <v>0</v>
      </c>
      <c r="C143" t="b">
        <f t="shared" si="1"/>
        <v>0</v>
      </c>
    </row>
    <row r="144" spans="1:3" x14ac:dyDescent="0.25">
      <c r="A144" t="s">
        <v>122</v>
      </c>
      <c r="B144" t="s">
        <v>235</v>
      </c>
      <c r="C144" t="b">
        <f t="shared" si="1"/>
        <v>0</v>
      </c>
    </row>
    <row r="145" spans="1:3" x14ac:dyDescent="0.25">
      <c r="A145" t="s">
        <v>123</v>
      </c>
      <c r="B145" t="s">
        <v>235</v>
      </c>
      <c r="C145" t="b">
        <f t="shared" si="1"/>
        <v>0</v>
      </c>
    </row>
    <row r="146" spans="1:3" x14ac:dyDescent="0.25">
      <c r="A146" t="s">
        <v>124</v>
      </c>
      <c r="B146" t="s">
        <v>235</v>
      </c>
      <c r="C146" t="b">
        <f t="shared" si="1"/>
        <v>0</v>
      </c>
    </row>
    <row r="147" spans="1:3" x14ac:dyDescent="0.25">
      <c r="A147" t="s">
        <v>154</v>
      </c>
      <c r="B147">
        <f>'Characteristics FY2014'!I376</f>
        <v>0</v>
      </c>
      <c r="C147" t="b">
        <f t="shared" si="1"/>
        <v>0</v>
      </c>
    </row>
    <row r="148" spans="1:3" x14ac:dyDescent="0.25">
      <c r="A148" t="s">
        <v>125</v>
      </c>
      <c r="B148" t="e">
        <f>'Characteristics FY2014'!#REF!</f>
        <v>#REF!</v>
      </c>
      <c r="C148" t="e">
        <f t="shared" si="1"/>
        <v>#REF!</v>
      </c>
    </row>
    <row r="149" spans="1:3" x14ac:dyDescent="0.25">
      <c r="A149" t="s">
        <v>155</v>
      </c>
      <c r="B149" t="e">
        <f>'Characteristics FY2014'!#REF!</f>
        <v>#REF!</v>
      </c>
      <c r="C149" t="e">
        <f t="shared" si="1"/>
        <v>#REF!</v>
      </c>
    </row>
    <row r="150" spans="1:3" x14ac:dyDescent="0.25">
      <c r="A150" t="s">
        <v>126</v>
      </c>
      <c r="B150">
        <f>'Characteristics FY2014'!F385</f>
        <v>0</v>
      </c>
      <c r="C150" t="b">
        <f t="shared" si="1"/>
        <v>0</v>
      </c>
    </row>
    <row r="151" spans="1:3" x14ac:dyDescent="0.25">
      <c r="A151" t="s">
        <v>127</v>
      </c>
      <c r="B151">
        <f>'Characteristics FY2014'!F387</f>
        <v>0</v>
      </c>
      <c r="C151" t="b">
        <f t="shared" si="1"/>
        <v>0</v>
      </c>
    </row>
    <row r="152" spans="1:3" x14ac:dyDescent="0.25">
      <c r="A152" t="s">
        <v>128</v>
      </c>
      <c r="B152">
        <f>'Characteristics FY2014'!F389</f>
        <v>0</v>
      </c>
      <c r="C152" t="b">
        <f t="shared" si="1"/>
        <v>0</v>
      </c>
    </row>
    <row r="153" spans="1:3" x14ac:dyDescent="0.25">
      <c r="A153" t="s">
        <v>143</v>
      </c>
      <c r="B153">
        <f>'Characteristics FY2014'!F391</f>
        <v>0</v>
      </c>
      <c r="C153" t="b">
        <f t="shared" si="1"/>
        <v>0</v>
      </c>
    </row>
    <row r="154" spans="1:3" x14ac:dyDescent="0.25">
      <c r="A154" t="s">
        <v>129</v>
      </c>
      <c r="B154">
        <f>'Characteristics FY2014'!F395</f>
        <v>0</v>
      </c>
      <c r="C154" t="b">
        <f t="shared" si="1"/>
        <v>0</v>
      </c>
    </row>
    <row r="155" spans="1:3" x14ac:dyDescent="0.25">
      <c r="A155" t="s">
        <v>130</v>
      </c>
      <c r="B155">
        <f>'Characteristics FY2014'!F397</f>
        <v>0</v>
      </c>
      <c r="C155" t="b">
        <f t="shared" si="1"/>
        <v>0</v>
      </c>
    </row>
    <row r="156" spans="1:3" x14ac:dyDescent="0.25">
      <c r="A156" t="s">
        <v>146</v>
      </c>
      <c r="B156">
        <f>'Characteristics FY2014'!F399</f>
        <v>0</v>
      </c>
      <c r="C156" t="b">
        <f t="shared" ref="C156:C172" si="3">A156=B156</f>
        <v>0</v>
      </c>
    </row>
    <row r="157" spans="1:3" x14ac:dyDescent="0.25">
      <c r="A157" t="s">
        <v>157</v>
      </c>
      <c r="B157">
        <f>'Characteristics FY2014'!F401</f>
        <v>0</v>
      </c>
      <c r="C157" t="b">
        <f t="shared" si="3"/>
        <v>0</v>
      </c>
    </row>
    <row r="158" spans="1:3" x14ac:dyDescent="0.25">
      <c r="A158" t="s">
        <v>131</v>
      </c>
      <c r="B158">
        <f>'Characteristics FY2014'!F405</f>
        <v>0</v>
      </c>
      <c r="C158" t="b">
        <f t="shared" si="3"/>
        <v>0</v>
      </c>
    </row>
    <row r="159" spans="1:3" x14ac:dyDescent="0.25">
      <c r="A159" t="s">
        <v>132</v>
      </c>
      <c r="B159">
        <f>'Characteristics FY2014'!F407</f>
        <v>0</v>
      </c>
      <c r="C159" t="b">
        <f t="shared" si="3"/>
        <v>0</v>
      </c>
    </row>
    <row r="160" spans="1:3" x14ac:dyDescent="0.25">
      <c r="A160" t="s">
        <v>133</v>
      </c>
      <c r="B160">
        <f>'Characteristics FY2014'!F409</f>
        <v>0</v>
      </c>
      <c r="C160" t="b">
        <f t="shared" si="3"/>
        <v>0</v>
      </c>
    </row>
    <row r="161" spans="1:3" x14ac:dyDescent="0.25">
      <c r="A161" t="s">
        <v>134</v>
      </c>
      <c r="B161">
        <f>'Characteristics FY2014'!F411</f>
        <v>0</v>
      </c>
      <c r="C161" t="b">
        <f t="shared" si="3"/>
        <v>0</v>
      </c>
    </row>
    <row r="162" spans="1:3" x14ac:dyDescent="0.25">
      <c r="A162" t="s">
        <v>148</v>
      </c>
      <c r="B162">
        <f>'Characteristics FY2014'!F413</f>
        <v>0</v>
      </c>
      <c r="C162" t="b">
        <f t="shared" si="3"/>
        <v>0</v>
      </c>
    </row>
    <row r="163" spans="1:3" x14ac:dyDescent="0.25">
      <c r="A163" t="s">
        <v>135</v>
      </c>
      <c r="B163">
        <f>'Characteristics FY2014'!F415</f>
        <v>0</v>
      </c>
      <c r="C163" t="b">
        <f t="shared" si="3"/>
        <v>0</v>
      </c>
    </row>
    <row r="164" spans="1:3" x14ac:dyDescent="0.25">
      <c r="A164" t="s">
        <v>136</v>
      </c>
      <c r="B164">
        <f>'Characteristics FY2014'!F417</f>
        <v>0</v>
      </c>
      <c r="C164" t="b">
        <f t="shared" si="3"/>
        <v>0</v>
      </c>
    </row>
    <row r="165" spans="1:3" x14ac:dyDescent="0.25">
      <c r="A165" t="s">
        <v>158</v>
      </c>
      <c r="B165">
        <f>'Characteristics FY2014'!F419</f>
        <v>0</v>
      </c>
      <c r="C165" t="b">
        <f t="shared" si="3"/>
        <v>0</v>
      </c>
    </row>
    <row r="166" spans="1:3" x14ac:dyDescent="0.25">
      <c r="A166" t="s">
        <v>137</v>
      </c>
      <c r="B166">
        <f>'Characteristics FY2014'!F423</f>
        <v>0</v>
      </c>
      <c r="C166" t="b">
        <f t="shared" si="3"/>
        <v>0</v>
      </c>
    </row>
    <row r="167" spans="1:3" x14ac:dyDescent="0.25">
      <c r="A167" t="s">
        <v>138</v>
      </c>
      <c r="B167">
        <f>'Characteristics FY2014'!F425</f>
        <v>0</v>
      </c>
      <c r="C167" t="b">
        <f t="shared" si="3"/>
        <v>0</v>
      </c>
    </row>
    <row r="168" spans="1:3" x14ac:dyDescent="0.25">
      <c r="A168" t="s">
        <v>139</v>
      </c>
      <c r="B168">
        <f>'Characteristics FY2014'!F427</f>
        <v>0</v>
      </c>
      <c r="C168" t="b">
        <f t="shared" si="3"/>
        <v>0</v>
      </c>
    </row>
    <row r="169" spans="1:3" x14ac:dyDescent="0.25">
      <c r="A169" t="s">
        <v>140</v>
      </c>
      <c r="B169">
        <f>'Characteristics FY2014'!F429</f>
        <v>0</v>
      </c>
      <c r="C169" t="b">
        <f t="shared" si="3"/>
        <v>0</v>
      </c>
    </row>
    <row r="170" spans="1:3" x14ac:dyDescent="0.25">
      <c r="A170" t="s">
        <v>141</v>
      </c>
      <c r="B170">
        <f>'Characteristics FY2014'!F431</f>
        <v>0</v>
      </c>
      <c r="C170" t="b">
        <f t="shared" si="3"/>
        <v>0</v>
      </c>
    </row>
    <row r="171" spans="1:3" x14ac:dyDescent="0.25">
      <c r="A171" t="s">
        <v>142</v>
      </c>
      <c r="B171">
        <f>'Characteristics FY2014'!F433</f>
        <v>0</v>
      </c>
      <c r="C171" t="b">
        <f t="shared" si="3"/>
        <v>0</v>
      </c>
    </row>
    <row r="172" spans="1:3" x14ac:dyDescent="0.25">
      <c r="A172" t="s">
        <v>156</v>
      </c>
      <c r="B172">
        <f>'Characteristics FY2014'!F435</f>
        <v>0</v>
      </c>
      <c r="C172" t="b">
        <f t="shared" si="3"/>
        <v>0</v>
      </c>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Characteristics FY2014</vt:lpstr>
      <vt:lpstr>Data Sharing Agreement</vt:lpstr>
      <vt:lpstr>Drop Downs</vt:lpstr>
      <vt:lpstr>Stored Values</vt:lpstr>
      <vt:lpstr>CCN_Lookup</vt:lpstr>
      <vt:lpstr>Days</vt:lpstr>
      <vt:lpstr>FQHC</vt:lpstr>
      <vt:lpstr>HDRELT_0</vt:lpstr>
      <vt:lpstr>Hosp_Lookup</vt:lpstr>
      <vt:lpstr>Months</vt:lpstr>
      <vt:lpstr>Org_Lookup</vt:lpstr>
      <vt:lpstr>Org_Select</vt:lpstr>
      <vt:lpstr>'Characteristics FY2014'!Print_Area</vt:lpstr>
      <vt:lpstr>'Data Sharing Agreement'!Print_Area</vt:lpstr>
      <vt:lpstr>State</vt:lpstr>
      <vt:lpstr>State_Select</vt:lpstr>
      <vt:lpstr>Year</vt:lpstr>
      <vt:lpstr>YNU</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Landry</dc:creator>
  <cp:lastModifiedBy>Chris Landry</cp:lastModifiedBy>
  <cp:lastPrinted>2015-06-30T17:47:34Z</cp:lastPrinted>
  <dcterms:created xsi:type="dcterms:W3CDTF">2015-03-11T17:49:50Z</dcterms:created>
  <dcterms:modified xsi:type="dcterms:W3CDTF">2015-06-30T18:06:36Z</dcterms:modified>
</cp:coreProperties>
</file>